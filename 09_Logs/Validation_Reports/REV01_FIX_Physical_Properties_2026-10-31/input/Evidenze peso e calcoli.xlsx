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piusi-my.sharepoint.com/personal/matteo_manicardi_piusi_com/Documents/04_Documenti (PERSONALI)/My Projects/MattRobotics/Matt-RobotDog/CAD/05_URDF/V2/"/>
    </mc:Choice>
  </mc:AlternateContent>
  <xr:revisionPtr revIDLastSave="0" documentId="8_{462F94ED-5DAA-4D46-90FD-BF9C12A6B0E3}" xr6:coauthVersionLast="47" xr6:coauthVersionMax="47" xr10:uidLastSave="{00000000-0000-0000-0000-000000000000}"/>
  <bookViews>
    <workbookView xWindow="-108" yWindow="-108" windowWidth="23256" windowHeight="12456" xr2:uid="{0CCD68E5-95C4-4FC7-889A-5AE972ED1AD3}"/>
  </bookViews>
  <sheets>
    <sheet name="Foglio1" sheetId="1" r:id="rId1"/>
  </sheets>
  <externalReferences>
    <externalReference r:id="rId2"/>
  </externalReferences>
  <definedNames>
    <definedName name="ATTIVITÀ">'[1]pag di servizio'!$B$29:$B$51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0" i="1" l="1"/>
  <c r="C63" i="1"/>
  <c r="F63" i="1" s="1"/>
  <c r="C62" i="1"/>
  <c r="F62" i="1" s="1"/>
  <c r="C61" i="1"/>
  <c r="F61" i="1" s="1"/>
  <c r="F64" i="1" s="1"/>
  <c r="F66" i="1" s="1"/>
  <c r="C56" i="1"/>
  <c r="F56" i="1" s="1"/>
  <c r="C55" i="1"/>
  <c r="F55" i="1" s="1"/>
  <c r="C54" i="1"/>
  <c r="F54" i="1" s="1"/>
  <c r="C53" i="1"/>
  <c r="F53" i="1" s="1"/>
  <c r="F57" i="1" s="1"/>
  <c r="F59" i="1" s="1"/>
  <c r="C48" i="1"/>
  <c r="F48" i="1" s="1"/>
  <c r="C47" i="1"/>
  <c r="F47" i="1" s="1"/>
  <c r="C46" i="1"/>
  <c r="F46" i="1" s="1"/>
  <c r="C45" i="1"/>
  <c r="F45" i="1" s="1"/>
  <c r="C40" i="1"/>
  <c r="F40" i="1" s="1"/>
  <c r="C39" i="1"/>
  <c r="F39" i="1" s="1"/>
  <c r="F38" i="1"/>
  <c r="C38" i="1"/>
  <c r="C37" i="1"/>
  <c r="F37" i="1" s="1"/>
  <c r="F41" i="1" s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M7" i="1"/>
  <c r="F7" i="1"/>
  <c r="M6" i="1"/>
  <c r="J6" i="1"/>
  <c r="F6" i="1"/>
  <c r="F5" i="1"/>
  <c r="F4" i="1"/>
  <c r="F3" i="1"/>
  <c r="F2" i="1"/>
  <c r="F33" i="1" s="1"/>
  <c r="F43" i="1" l="1"/>
  <c r="F49" i="1"/>
  <c r="F51" i="1" l="1"/>
  <c r="F69" i="1"/>
  <c r="J8" i="1" l="1"/>
  <c r="M8" i="1" s="1"/>
  <c r="J11" i="1" s="1"/>
  <c r="F71" i="1"/>
  <c r="J13" i="1" l="1"/>
  <c r="L13" i="1"/>
</calcChain>
</file>

<file path=xl/sharedStrings.xml><?xml version="1.0" encoding="utf-8"?>
<sst xmlns="http://schemas.openxmlformats.org/spreadsheetml/2006/main" count="241" uniqueCount="75">
  <si>
    <t>group</t>
  </si>
  <si>
    <t>part</t>
  </si>
  <si>
    <t>Unit.</t>
  </si>
  <si>
    <t>Q.ty</t>
  </si>
  <si>
    <t>Tot.</t>
  </si>
  <si>
    <t>base_link</t>
  </si>
  <si>
    <t>portafusibile+fusibile+cavi</t>
  </si>
  <si>
    <t>g</t>
  </si>
  <si>
    <t>peso robot tot.</t>
  </si>
  <si>
    <t>(al 30/10/2026)</t>
  </si>
  <si>
    <t>wifi_antenna (+ spinotto)</t>
  </si>
  <si>
    <t>(senza jetson orin)</t>
  </si>
  <si>
    <t>base_link__charge_pads_cover</t>
  </si>
  <si>
    <t>dado m4 flang</t>
  </si>
  <si>
    <t>occhiello m4+cavo</t>
  </si>
  <si>
    <t>servo cable+4xM2.5</t>
  </si>
  <si>
    <t>soldered_rear_pad</t>
  </si>
  <si>
    <t>motor housing</t>
  </si>
  <si>
    <t>magnete Ø3x6</t>
  </si>
  <si>
    <t>zampa completa</t>
  </si>
  <si>
    <t>vite M2.5 x 6 autof.</t>
  </si>
  <si>
    <t>rear_fuse_cover (disgiuntore)</t>
  </si>
  <si>
    <t>base_link_rear</t>
  </si>
  <si>
    <t>Somma CAD</t>
  </si>
  <si>
    <t>(rimossa Jetson Orin)</t>
  </si>
  <si>
    <t>vite M3.5 x 20 autof.</t>
  </si>
  <si>
    <t>base_link__main_chassis</t>
  </si>
  <si>
    <t>Diff</t>
  </si>
  <si>
    <t>base_link__body_cover</t>
  </si>
  <si>
    <t>base_link__battery_cover</t>
  </si>
  <si>
    <t>base_link__jetson_orin_nano</t>
  </si>
  <si>
    <t>evidenze misurate</t>
  </si>
  <si>
    <t>base_link__battery_3s_9000mah</t>
  </si>
  <si>
    <t>Adafruit_BNO085_STEMMA_QT</t>
  </si>
  <si>
    <t>Daly_Smart_BMS_H-series_3S_60A</t>
  </si>
  <si>
    <t>base_link__BMS_holder</t>
  </si>
  <si>
    <t>horn</t>
  </si>
  <si>
    <t>motion_controller__bracket</t>
  </si>
  <si>
    <t>idler_horn</t>
  </si>
  <si>
    <t>motion_controller__shield</t>
  </si>
  <si>
    <t>vite M3x6</t>
  </si>
  <si>
    <t>ESP32_S3_WROOM</t>
  </si>
  <si>
    <t>led_ring_d38_WS2812</t>
  </si>
  <si>
    <t>hip_leg_link</t>
  </si>
  <si>
    <t>key_toggle_switch</t>
  </si>
  <si>
    <t>cover_led_logo</t>
  </si>
  <si>
    <t>upper leg link</t>
  </si>
  <si>
    <t>SEED_Bus_Servo_Driver_Board</t>
  </si>
  <si>
    <t>upper leg cover</t>
  </si>
  <si>
    <t>servo_power_board</t>
  </si>
  <si>
    <t>lower_leg_link</t>
  </si>
  <si>
    <t>BT dongle Daly</t>
  </si>
  <si>
    <t>viti autofilettanti (peso medio)</t>
  </si>
  <si>
    <t>rubber_foot</t>
  </si>
  <si>
    <t>Somma analitica Base_link senza motor joint x 5</t>
  </si>
  <si>
    <t>sub. Tot.</t>
  </si>
  <si>
    <t>gr</t>
  </si>
  <si>
    <t>vite M5x12 TBEI</t>
  </si>
  <si>
    <t>dado m5</t>
  </si>
  <si>
    <t>*hip_leg_link</t>
  </si>
  <si>
    <t>*_hip_link</t>
  </si>
  <si>
    <t>idler horn</t>
  </si>
  <si>
    <t>Tot. Analit.</t>
  </si>
  <si>
    <t>Tot. CAD</t>
  </si>
  <si>
    <t>% CAD</t>
  </si>
  <si>
    <t>*upper_leg_link</t>
  </si>
  <si>
    <t>main__upper_leg_link</t>
  </si>
  <si>
    <t>cover__upper_leg_link</t>
  </si>
  <si>
    <t>joint__servo_ST3215_body</t>
  </si>
  <si>
    <t>motor cable</t>
  </si>
  <si>
    <t>*lower_leg_link</t>
  </si>
  <si>
    <t>*_lower_leg_link</t>
  </si>
  <si>
    <t>*foot_leg_link</t>
  </si>
  <si>
    <t>*_feet_leg_link</t>
  </si>
  <si>
    <t>TOTALE ZAMPA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</si>
</sst>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3" fillId="0" borderId="0" xfId="0" applyFont="1" applyAlignment="1">
      <alignment horizontal="right"/>
    </xf>
    <xf numFmtId="10" fontId="2" fillId="0" borderId="0" xfId="1" applyNumberFormat="1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5" fillId="0" borderId="0" xfId="0" applyFont="1"/>
    <xf numFmtId="0" fontId="0" fillId="2" borderId="0" xfId="0" applyFill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TTIVIT&#192;%20&amp;%20ORE.xls" TargetMode="External"/><Relationship Id="rId2" Type="http://schemas.openxmlformats.org/officeDocument/2006/relationships/externalLinkPath" Target="https://piusi-my.sharepoint.com/personal/matteo_manicardi_piusi_com/Documents/ATTIVIT&#192;%20&amp;%20ORE.xls" TargetMode="External"/><Relationship Id="rId1" Type="http://schemas.openxmlformats.org/officeDocument/2006/relationships/externalLinkPath" Target="/personal/matteo_manicardi_piusi_com/Documents/ATTIVIT&#192;%20&amp;%20O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6"/>
      <sheetName val="Foglio1"/>
      <sheetName val="RIEPILOGO 2026"/>
      <sheetName val="DA FARE"/>
      <sheetName val="pag di servizio"/>
    </sheetNames>
    <sheetDataSet>
      <sheetData sheetId="0"/>
      <sheetData sheetId="1"/>
      <sheetData sheetId="2"/>
      <sheetData sheetId="3"/>
      <sheetData sheetId="4">
        <row r="29">
          <cell r="B29" t="str">
            <v>ASSISTENZA COMMERCIALI</v>
          </cell>
        </row>
        <row r="30">
          <cell r="B30" t="str">
            <v>PROTOTIPO</v>
          </cell>
        </row>
        <row r="31">
          <cell r="B31" t="str">
            <v>CODIFICA</v>
          </cell>
        </row>
        <row r="32">
          <cell r="B32" t="str">
            <v>DVP&amp;R</v>
          </cell>
        </row>
        <row r="33">
          <cell r="B33" t="str">
            <v>FASCICOLO TECNICO</v>
          </cell>
        </row>
        <row r="34">
          <cell r="B34" t="str">
            <v>FIERA</v>
          </cell>
        </row>
        <row r="35">
          <cell r="B35" t="str">
            <v>FMEA</v>
          </cell>
        </row>
        <row r="36">
          <cell r="B36" t="str">
            <v>FORMAZIONE</v>
          </cell>
        </row>
        <row r="37">
          <cell r="B37" t="str">
            <v>INVENTARIO</v>
          </cell>
        </row>
        <row r="38">
          <cell r="B38" t="str">
            <v>GENERAL / MANAGEMENT</v>
          </cell>
        </row>
        <row r="39">
          <cell r="B39" t="str">
            <v>PERMESSO</v>
          </cell>
        </row>
        <row r="40">
          <cell r="B40" t="str">
            <v>PLM</v>
          </cell>
        </row>
        <row r="41">
          <cell r="B41" t="str">
            <v>PRODUZIONE</v>
          </cell>
        </row>
        <row r="42">
          <cell r="B42" t="str">
            <v>PROGETTAZIONE</v>
          </cell>
        </row>
        <row r="43">
          <cell r="B43" t="str">
            <v>RDA SAP</v>
          </cell>
        </row>
        <row r="44">
          <cell r="B44" t="str">
            <v>RDP</v>
          </cell>
        </row>
        <row r="45">
          <cell r="B45" t="str">
            <v>REVISIONE DISEGNI</v>
          </cell>
        </row>
        <row r="46">
          <cell r="B46" t="str">
            <v>RICHIESTA OFFERTA</v>
          </cell>
        </row>
        <row r="47">
          <cell r="B47" t="str">
            <v>RIUNIONE</v>
          </cell>
        </row>
        <row r="48">
          <cell r="B48" t="str">
            <v>SALA PROVE</v>
          </cell>
        </row>
        <row r="49">
          <cell r="B49" t="str">
            <v>SAP</v>
          </cell>
        </row>
        <row r="50">
          <cell r="B50" t="str">
            <v>STAMPA 3D</v>
          </cell>
        </row>
        <row r="51">
          <cell r="B51" t="str">
            <v>TRASFERTA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11D8-8308-4658-B391-A90E45E29188}">
  <dimension ref="A1:N71"/>
  <sheetViews>
    <sheetView tabSelected="1" workbookViewId="0">
      <selection activeCell="M16" sqref="M16"/>
    </sheetView>
  </sheetViews>
  <sheetFormatPr defaultRowHeight="13.2" x14ac:dyDescent="0.25"/>
  <cols>
    <col min="1" max="1" width="13.5546875" bestFit="1" customWidth="1"/>
    <col min="2" max="2" width="32" bestFit="1" customWidth="1"/>
    <col min="9" max="9" width="13.109375" bestFit="1" customWidth="1"/>
    <col min="257" max="257" width="13.5546875" bestFit="1" customWidth="1"/>
    <col min="258" max="258" width="32" bestFit="1" customWidth="1"/>
    <col min="265" max="265" width="13.109375" bestFit="1" customWidth="1"/>
    <col min="513" max="513" width="13.5546875" bestFit="1" customWidth="1"/>
    <col min="514" max="514" width="32" bestFit="1" customWidth="1"/>
    <col min="521" max="521" width="13.109375" bestFit="1" customWidth="1"/>
    <col min="769" max="769" width="13.5546875" bestFit="1" customWidth="1"/>
    <col min="770" max="770" width="32" bestFit="1" customWidth="1"/>
    <col min="777" max="777" width="13.109375" bestFit="1" customWidth="1"/>
    <col min="1025" max="1025" width="13.5546875" bestFit="1" customWidth="1"/>
    <col min="1026" max="1026" width="32" bestFit="1" customWidth="1"/>
    <col min="1033" max="1033" width="13.109375" bestFit="1" customWidth="1"/>
    <col min="1281" max="1281" width="13.5546875" bestFit="1" customWidth="1"/>
    <col min="1282" max="1282" width="32" bestFit="1" customWidth="1"/>
    <col min="1289" max="1289" width="13.109375" bestFit="1" customWidth="1"/>
    <col min="1537" max="1537" width="13.5546875" bestFit="1" customWidth="1"/>
    <col min="1538" max="1538" width="32" bestFit="1" customWidth="1"/>
    <col min="1545" max="1545" width="13.109375" bestFit="1" customWidth="1"/>
    <col min="1793" max="1793" width="13.5546875" bestFit="1" customWidth="1"/>
    <col min="1794" max="1794" width="32" bestFit="1" customWidth="1"/>
    <col min="1801" max="1801" width="13.109375" bestFit="1" customWidth="1"/>
    <col min="2049" max="2049" width="13.5546875" bestFit="1" customWidth="1"/>
    <col min="2050" max="2050" width="32" bestFit="1" customWidth="1"/>
    <col min="2057" max="2057" width="13.109375" bestFit="1" customWidth="1"/>
    <col min="2305" max="2305" width="13.5546875" bestFit="1" customWidth="1"/>
    <col min="2306" max="2306" width="32" bestFit="1" customWidth="1"/>
    <col min="2313" max="2313" width="13.109375" bestFit="1" customWidth="1"/>
    <col min="2561" max="2561" width="13.5546875" bestFit="1" customWidth="1"/>
    <col min="2562" max="2562" width="32" bestFit="1" customWidth="1"/>
    <col min="2569" max="2569" width="13.109375" bestFit="1" customWidth="1"/>
    <col min="2817" max="2817" width="13.5546875" bestFit="1" customWidth="1"/>
    <col min="2818" max="2818" width="32" bestFit="1" customWidth="1"/>
    <col min="2825" max="2825" width="13.109375" bestFit="1" customWidth="1"/>
    <col min="3073" max="3073" width="13.5546875" bestFit="1" customWidth="1"/>
    <col min="3074" max="3074" width="32" bestFit="1" customWidth="1"/>
    <col min="3081" max="3081" width="13.109375" bestFit="1" customWidth="1"/>
    <col min="3329" max="3329" width="13.5546875" bestFit="1" customWidth="1"/>
    <col min="3330" max="3330" width="32" bestFit="1" customWidth="1"/>
    <col min="3337" max="3337" width="13.109375" bestFit="1" customWidth="1"/>
    <col min="3585" max="3585" width="13.5546875" bestFit="1" customWidth="1"/>
    <col min="3586" max="3586" width="32" bestFit="1" customWidth="1"/>
    <col min="3593" max="3593" width="13.109375" bestFit="1" customWidth="1"/>
    <col min="3841" max="3841" width="13.5546875" bestFit="1" customWidth="1"/>
    <col min="3842" max="3842" width="32" bestFit="1" customWidth="1"/>
    <col min="3849" max="3849" width="13.109375" bestFit="1" customWidth="1"/>
    <col min="4097" max="4097" width="13.5546875" bestFit="1" customWidth="1"/>
    <col min="4098" max="4098" width="32" bestFit="1" customWidth="1"/>
    <col min="4105" max="4105" width="13.109375" bestFit="1" customWidth="1"/>
    <col min="4353" max="4353" width="13.5546875" bestFit="1" customWidth="1"/>
    <col min="4354" max="4354" width="32" bestFit="1" customWidth="1"/>
    <col min="4361" max="4361" width="13.109375" bestFit="1" customWidth="1"/>
    <col min="4609" max="4609" width="13.5546875" bestFit="1" customWidth="1"/>
    <col min="4610" max="4610" width="32" bestFit="1" customWidth="1"/>
    <col min="4617" max="4617" width="13.109375" bestFit="1" customWidth="1"/>
    <col min="4865" max="4865" width="13.5546875" bestFit="1" customWidth="1"/>
    <col min="4866" max="4866" width="32" bestFit="1" customWidth="1"/>
    <col min="4873" max="4873" width="13.109375" bestFit="1" customWidth="1"/>
    <col min="5121" max="5121" width="13.5546875" bestFit="1" customWidth="1"/>
    <col min="5122" max="5122" width="32" bestFit="1" customWidth="1"/>
    <col min="5129" max="5129" width="13.109375" bestFit="1" customWidth="1"/>
    <col min="5377" max="5377" width="13.5546875" bestFit="1" customWidth="1"/>
    <col min="5378" max="5378" width="32" bestFit="1" customWidth="1"/>
    <col min="5385" max="5385" width="13.109375" bestFit="1" customWidth="1"/>
    <col min="5633" max="5633" width="13.5546875" bestFit="1" customWidth="1"/>
    <col min="5634" max="5634" width="32" bestFit="1" customWidth="1"/>
    <col min="5641" max="5641" width="13.109375" bestFit="1" customWidth="1"/>
    <col min="5889" max="5889" width="13.5546875" bestFit="1" customWidth="1"/>
    <col min="5890" max="5890" width="32" bestFit="1" customWidth="1"/>
    <col min="5897" max="5897" width="13.109375" bestFit="1" customWidth="1"/>
    <col min="6145" max="6145" width="13.5546875" bestFit="1" customWidth="1"/>
    <col min="6146" max="6146" width="32" bestFit="1" customWidth="1"/>
    <col min="6153" max="6153" width="13.109375" bestFit="1" customWidth="1"/>
    <col min="6401" max="6401" width="13.5546875" bestFit="1" customWidth="1"/>
    <col min="6402" max="6402" width="32" bestFit="1" customWidth="1"/>
    <col min="6409" max="6409" width="13.109375" bestFit="1" customWidth="1"/>
    <col min="6657" max="6657" width="13.5546875" bestFit="1" customWidth="1"/>
    <col min="6658" max="6658" width="32" bestFit="1" customWidth="1"/>
    <col min="6665" max="6665" width="13.109375" bestFit="1" customWidth="1"/>
    <col min="6913" max="6913" width="13.5546875" bestFit="1" customWidth="1"/>
    <col min="6914" max="6914" width="32" bestFit="1" customWidth="1"/>
    <col min="6921" max="6921" width="13.109375" bestFit="1" customWidth="1"/>
    <col min="7169" max="7169" width="13.5546875" bestFit="1" customWidth="1"/>
    <col min="7170" max="7170" width="32" bestFit="1" customWidth="1"/>
    <col min="7177" max="7177" width="13.109375" bestFit="1" customWidth="1"/>
    <col min="7425" max="7425" width="13.5546875" bestFit="1" customWidth="1"/>
    <col min="7426" max="7426" width="32" bestFit="1" customWidth="1"/>
    <col min="7433" max="7433" width="13.109375" bestFit="1" customWidth="1"/>
    <col min="7681" max="7681" width="13.5546875" bestFit="1" customWidth="1"/>
    <col min="7682" max="7682" width="32" bestFit="1" customWidth="1"/>
    <col min="7689" max="7689" width="13.109375" bestFit="1" customWidth="1"/>
    <col min="7937" max="7937" width="13.5546875" bestFit="1" customWidth="1"/>
    <col min="7938" max="7938" width="32" bestFit="1" customWidth="1"/>
    <col min="7945" max="7945" width="13.109375" bestFit="1" customWidth="1"/>
    <col min="8193" max="8193" width="13.5546875" bestFit="1" customWidth="1"/>
    <col min="8194" max="8194" width="32" bestFit="1" customWidth="1"/>
    <col min="8201" max="8201" width="13.109375" bestFit="1" customWidth="1"/>
    <col min="8449" max="8449" width="13.5546875" bestFit="1" customWidth="1"/>
    <col min="8450" max="8450" width="32" bestFit="1" customWidth="1"/>
    <col min="8457" max="8457" width="13.109375" bestFit="1" customWidth="1"/>
    <col min="8705" max="8705" width="13.5546875" bestFit="1" customWidth="1"/>
    <col min="8706" max="8706" width="32" bestFit="1" customWidth="1"/>
    <col min="8713" max="8713" width="13.109375" bestFit="1" customWidth="1"/>
    <col min="8961" max="8961" width="13.5546875" bestFit="1" customWidth="1"/>
    <col min="8962" max="8962" width="32" bestFit="1" customWidth="1"/>
    <col min="8969" max="8969" width="13.109375" bestFit="1" customWidth="1"/>
    <col min="9217" max="9217" width="13.5546875" bestFit="1" customWidth="1"/>
    <col min="9218" max="9218" width="32" bestFit="1" customWidth="1"/>
    <col min="9225" max="9225" width="13.109375" bestFit="1" customWidth="1"/>
    <col min="9473" max="9473" width="13.5546875" bestFit="1" customWidth="1"/>
    <col min="9474" max="9474" width="32" bestFit="1" customWidth="1"/>
    <col min="9481" max="9481" width="13.109375" bestFit="1" customWidth="1"/>
    <col min="9729" max="9729" width="13.5546875" bestFit="1" customWidth="1"/>
    <col min="9730" max="9730" width="32" bestFit="1" customWidth="1"/>
    <col min="9737" max="9737" width="13.109375" bestFit="1" customWidth="1"/>
    <col min="9985" max="9985" width="13.5546875" bestFit="1" customWidth="1"/>
    <col min="9986" max="9986" width="32" bestFit="1" customWidth="1"/>
    <col min="9993" max="9993" width="13.109375" bestFit="1" customWidth="1"/>
    <col min="10241" max="10241" width="13.5546875" bestFit="1" customWidth="1"/>
    <col min="10242" max="10242" width="32" bestFit="1" customWidth="1"/>
    <col min="10249" max="10249" width="13.109375" bestFit="1" customWidth="1"/>
    <col min="10497" max="10497" width="13.5546875" bestFit="1" customWidth="1"/>
    <col min="10498" max="10498" width="32" bestFit="1" customWidth="1"/>
    <col min="10505" max="10505" width="13.109375" bestFit="1" customWidth="1"/>
    <col min="10753" max="10753" width="13.5546875" bestFit="1" customWidth="1"/>
    <col min="10754" max="10754" width="32" bestFit="1" customWidth="1"/>
    <col min="10761" max="10761" width="13.109375" bestFit="1" customWidth="1"/>
    <col min="11009" max="11009" width="13.5546875" bestFit="1" customWidth="1"/>
    <col min="11010" max="11010" width="32" bestFit="1" customWidth="1"/>
    <col min="11017" max="11017" width="13.109375" bestFit="1" customWidth="1"/>
    <col min="11265" max="11265" width="13.5546875" bestFit="1" customWidth="1"/>
    <col min="11266" max="11266" width="32" bestFit="1" customWidth="1"/>
    <col min="11273" max="11273" width="13.109375" bestFit="1" customWidth="1"/>
    <col min="11521" max="11521" width="13.5546875" bestFit="1" customWidth="1"/>
    <col min="11522" max="11522" width="32" bestFit="1" customWidth="1"/>
    <col min="11529" max="11529" width="13.109375" bestFit="1" customWidth="1"/>
    <col min="11777" max="11777" width="13.5546875" bestFit="1" customWidth="1"/>
    <col min="11778" max="11778" width="32" bestFit="1" customWidth="1"/>
    <col min="11785" max="11785" width="13.109375" bestFit="1" customWidth="1"/>
    <col min="12033" max="12033" width="13.5546875" bestFit="1" customWidth="1"/>
    <col min="12034" max="12034" width="32" bestFit="1" customWidth="1"/>
    <col min="12041" max="12041" width="13.109375" bestFit="1" customWidth="1"/>
    <col min="12289" max="12289" width="13.5546875" bestFit="1" customWidth="1"/>
    <col min="12290" max="12290" width="32" bestFit="1" customWidth="1"/>
    <col min="12297" max="12297" width="13.109375" bestFit="1" customWidth="1"/>
    <col min="12545" max="12545" width="13.5546875" bestFit="1" customWidth="1"/>
    <col min="12546" max="12546" width="32" bestFit="1" customWidth="1"/>
    <col min="12553" max="12553" width="13.109375" bestFit="1" customWidth="1"/>
    <col min="12801" max="12801" width="13.5546875" bestFit="1" customWidth="1"/>
    <col min="12802" max="12802" width="32" bestFit="1" customWidth="1"/>
    <col min="12809" max="12809" width="13.109375" bestFit="1" customWidth="1"/>
    <col min="13057" max="13057" width="13.5546875" bestFit="1" customWidth="1"/>
    <col min="13058" max="13058" width="32" bestFit="1" customWidth="1"/>
    <col min="13065" max="13065" width="13.109375" bestFit="1" customWidth="1"/>
    <col min="13313" max="13313" width="13.5546875" bestFit="1" customWidth="1"/>
    <col min="13314" max="13314" width="32" bestFit="1" customWidth="1"/>
    <col min="13321" max="13321" width="13.109375" bestFit="1" customWidth="1"/>
    <col min="13569" max="13569" width="13.5546875" bestFit="1" customWidth="1"/>
    <col min="13570" max="13570" width="32" bestFit="1" customWidth="1"/>
    <col min="13577" max="13577" width="13.109375" bestFit="1" customWidth="1"/>
    <col min="13825" max="13825" width="13.5546875" bestFit="1" customWidth="1"/>
    <col min="13826" max="13826" width="32" bestFit="1" customWidth="1"/>
    <col min="13833" max="13833" width="13.109375" bestFit="1" customWidth="1"/>
    <col min="14081" max="14081" width="13.5546875" bestFit="1" customWidth="1"/>
    <col min="14082" max="14082" width="32" bestFit="1" customWidth="1"/>
    <col min="14089" max="14089" width="13.109375" bestFit="1" customWidth="1"/>
    <col min="14337" max="14337" width="13.5546875" bestFit="1" customWidth="1"/>
    <col min="14338" max="14338" width="32" bestFit="1" customWidth="1"/>
    <col min="14345" max="14345" width="13.109375" bestFit="1" customWidth="1"/>
    <col min="14593" max="14593" width="13.5546875" bestFit="1" customWidth="1"/>
    <col min="14594" max="14594" width="32" bestFit="1" customWidth="1"/>
    <col min="14601" max="14601" width="13.109375" bestFit="1" customWidth="1"/>
    <col min="14849" max="14849" width="13.5546875" bestFit="1" customWidth="1"/>
    <col min="14850" max="14850" width="32" bestFit="1" customWidth="1"/>
    <col min="14857" max="14857" width="13.109375" bestFit="1" customWidth="1"/>
    <col min="15105" max="15105" width="13.5546875" bestFit="1" customWidth="1"/>
    <col min="15106" max="15106" width="32" bestFit="1" customWidth="1"/>
    <col min="15113" max="15113" width="13.109375" bestFit="1" customWidth="1"/>
    <col min="15361" max="15361" width="13.5546875" bestFit="1" customWidth="1"/>
    <col min="15362" max="15362" width="32" bestFit="1" customWidth="1"/>
    <col min="15369" max="15369" width="13.109375" bestFit="1" customWidth="1"/>
    <col min="15617" max="15617" width="13.5546875" bestFit="1" customWidth="1"/>
    <col min="15618" max="15618" width="32" bestFit="1" customWidth="1"/>
    <col min="15625" max="15625" width="13.109375" bestFit="1" customWidth="1"/>
    <col min="15873" max="15873" width="13.5546875" bestFit="1" customWidth="1"/>
    <col min="15874" max="15874" width="32" bestFit="1" customWidth="1"/>
    <col min="15881" max="15881" width="13.109375" bestFit="1" customWidth="1"/>
    <col min="16129" max="16129" width="13.5546875" bestFit="1" customWidth="1"/>
    <col min="16130" max="16130" width="32" bestFit="1" customWidth="1"/>
    <col min="16137" max="16137" width="13.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14" x14ac:dyDescent="0.25">
      <c r="A2" t="s">
        <v>5</v>
      </c>
      <c r="B2" t="s">
        <v>6</v>
      </c>
      <c r="C2">
        <v>12</v>
      </c>
      <c r="D2" s="2" t="s">
        <v>7</v>
      </c>
      <c r="E2">
        <v>1</v>
      </c>
      <c r="F2">
        <f t="shared" ref="F2:F31" si="0">C2*E2</f>
        <v>12</v>
      </c>
      <c r="G2" s="2" t="s">
        <v>7</v>
      </c>
      <c r="I2" t="s">
        <v>8</v>
      </c>
      <c r="J2" s="3">
        <v>2807</v>
      </c>
      <c r="K2" s="2" t="s">
        <v>7</v>
      </c>
      <c r="L2" s="2" t="s">
        <v>9</v>
      </c>
    </row>
    <row r="3" spans="1:14" x14ac:dyDescent="0.25">
      <c r="A3" t="s">
        <v>5</v>
      </c>
      <c r="B3" t="s">
        <v>10</v>
      </c>
      <c r="C3">
        <v>7</v>
      </c>
      <c r="D3" s="2" t="s">
        <v>7</v>
      </c>
      <c r="E3">
        <v>1</v>
      </c>
      <c r="F3">
        <f t="shared" si="0"/>
        <v>7</v>
      </c>
      <c r="G3" s="2" t="s">
        <v>7</v>
      </c>
      <c r="I3" s="4" t="s">
        <v>11</v>
      </c>
    </row>
    <row r="4" spans="1:14" x14ac:dyDescent="0.25">
      <c r="A4" t="s">
        <v>5</v>
      </c>
      <c r="B4" t="s">
        <v>12</v>
      </c>
      <c r="C4">
        <v>5</v>
      </c>
      <c r="D4" s="2" t="s">
        <v>7</v>
      </c>
      <c r="E4">
        <v>1</v>
      </c>
      <c r="F4">
        <f t="shared" si="0"/>
        <v>5</v>
      </c>
      <c r="G4" s="2" t="s">
        <v>7</v>
      </c>
    </row>
    <row r="5" spans="1:14" x14ac:dyDescent="0.25">
      <c r="A5" t="s">
        <v>5</v>
      </c>
      <c r="B5" t="s">
        <v>13</v>
      </c>
      <c r="C5">
        <v>1</v>
      </c>
      <c r="D5" s="2" t="s">
        <v>7</v>
      </c>
      <c r="E5">
        <v>2</v>
      </c>
      <c r="F5">
        <f t="shared" si="0"/>
        <v>2</v>
      </c>
      <c r="G5" s="2" t="s">
        <v>7</v>
      </c>
      <c r="J5" s="2" t="s">
        <v>2</v>
      </c>
      <c r="L5" s="2" t="s">
        <v>3</v>
      </c>
      <c r="M5" s="2" t="s">
        <v>4</v>
      </c>
      <c r="N5" s="2"/>
    </row>
    <row r="6" spans="1:14" x14ac:dyDescent="0.25">
      <c r="A6" t="s">
        <v>5</v>
      </c>
      <c r="B6" t="s">
        <v>14</v>
      </c>
      <c r="C6">
        <v>2</v>
      </c>
      <c r="D6" s="2" t="s">
        <v>7</v>
      </c>
      <c r="E6">
        <v>2</v>
      </c>
      <c r="F6">
        <f t="shared" si="0"/>
        <v>4</v>
      </c>
      <c r="G6" s="2" t="s">
        <v>7</v>
      </c>
      <c r="I6" s="5" t="s">
        <v>15</v>
      </c>
      <c r="J6">
        <f>J19</f>
        <v>1.5</v>
      </c>
      <c r="K6" s="2" t="s">
        <v>7</v>
      </c>
      <c r="L6">
        <v>8</v>
      </c>
      <c r="M6" s="2">
        <f>J6*L6</f>
        <v>12</v>
      </c>
      <c r="N6" s="2" t="s">
        <v>7</v>
      </c>
    </row>
    <row r="7" spans="1:14" x14ac:dyDescent="0.25">
      <c r="A7" t="s">
        <v>5</v>
      </c>
      <c r="B7" t="s">
        <v>16</v>
      </c>
      <c r="C7">
        <v>4</v>
      </c>
      <c r="D7" s="2" t="s">
        <v>7</v>
      </c>
      <c r="E7">
        <v>2</v>
      </c>
      <c r="F7">
        <f t="shared" si="0"/>
        <v>8</v>
      </c>
      <c r="G7" s="2" t="s">
        <v>7</v>
      </c>
      <c r="I7" s="5" t="s">
        <v>17</v>
      </c>
      <c r="J7">
        <v>58</v>
      </c>
      <c r="K7" s="2" t="s">
        <v>7</v>
      </c>
      <c r="L7">
        <v>5</v>
      </c>
      <c r="M7" s="2">
        <f>J7*L7</f>
        <v>290</v>
      </c>
      <c r="N7" s="2" t="s">
        <v>7</v>
      </c>
    </row>
    <row r="8" spans="1:14" x14ac:dyDescent="0.25">
      <c r="A8" t="s">
        <v>5</v>
      </c>
      <c r="B8" t="s">
        <v>18</v>
      </c>
      <c r="C8">
        <v>0.5</v>
      </c>
      <c r="D8" s="2" t="s">
        <v>7</v>
      </c>
      <c r="E8">
        <v>4</v>
      </c>
      <c r="F8">
        <f t="shared" si="0"/>
        <v>2</v>
      </c>
      <c r="G8" s="2" t="s">
        <v>7</v>
      </c>
      <c r="I8" s="5" t="s">
        <v>19</v>
      </c>
      <c r="J8">
        <f>F69</f>
        <v>275.39999999999998</v>
      </c>
      <c r="K8" s="2" t="s">
        <v>7</v>
      </c>
      <c r="L8">
        <v>4</v>
      </c>
      <c r="M8" s="2">
        <f>J8*L8</f>
        <v>1101.5999999999999</v>
      </c>
      <c r="N8" s="2" t="s">
        <v>7</v>
      </c>
    </row>
    <row r="9" spans="1:14" x14ac:dyDescent="0.25">
      <c r="A9" t="s">
        <v>5</v>
      </c>
      <c r="B9" t="s">
        <v>20</v>
      </c>
      <c r="C9">
        <v>0.5</v>
      </c>
      <c r="D9" s="2" t="s">
        <v>7</v>
      </c>
      <c r="E9">
        <v>2</v>
      </c>
      <c r="F9">
        <f t="shared" si="0"/>
        <v>1</v>
      </c>
      <c r="G9" s="2" t="s">
        <v>7</v>
      </c>
    </row>
    <row r="10" spans="1:14" x14ac:dyDescent="0.25">
      <c r="A10" t="s">
        <v>5</v>
      </c>
      <c r="B10" t="s">
        <v>21</v>
      </c>
      <c r="C10">
        <v>7</v>
      </c>
      <c r="D10" s="2" t="s">
        <v>7</v>
      </c>
      <c r="E10">
        <v>1</v>
      </c>
      <c r="F10">
        <f t="shared" si="0"/>
        <v>7</v>
      </c>
      <c r="G10" s="2" t="s">
        <v>7</v>
      </c>
    </row>
    <row r="11" spans="1:14" x14ac:dyDescent="0.25">
      <c r="A11" t="s">
        <v>5</v>
      </c>
      <c r="B11" t="s">
        <v>22</v>
      </c>
      <c r="C11">
        <v>49</v>
      </c>
      <c r="D11" s="2" t="s">
        <v>7</v>
      </c>
      <c r="E11">
        <v>1</v>
      </c>
      <c r="F11">
        <f t="shared" si="0"/>
        <v>49</v>
      </c>
      <c r="G11" s="2" t="s">
        <v>7</v>
      </c>
      <c r="I11" s="5" t="s">
        <v>23</v>
      </c>
      <c r="J11">
        <f>F33-F16+SUM(M6:M8)</f>
        <v>2768.2</v>
      </c>
      <c r="K11" s="2" t="s">
        <v>7</v>
      </c>
      <c r="L11" s="4" t="s">
        <v>24</v>
      </c>
    </row>
    <row r="12" spans="1:14" x14ac:dyDescent="0.25">
      <c r="A12" t="s">
        <v>5</v>
      </c>
      <c r="B12" t="s">
        <v>25</v>
      </c>
      <c r="C12">
        <v>2.5</v>
      </c>
      <c r="D12" s="2" t="s">
        <v>7</v>
      </c>
      <c r="E12">
        <v>4</v>
      </c>
      <c r="F12">
        <f t="shared" si="0"/>
        <v>10</v>
      </c>
      <c r="G12" s="2" t="s">
        <v>7</v>
      </c>
    </row>
    <row r="13" spans="1:14" x14ac:dyDescent="0.25">
      <c r="A13" t="s">
        <v>5</v>
      </c>
      <c r="B13" t="s">
        <v>26</v>
      </c>
      <c r="C13">
        <v>283</v>
      </c>
      <c r="D13" s="2" t="s">
        <v>7</v>
      </c>
      <c r="E13">
        <v>1</v>
      </c>
      <c r="F13">
        <f t="shared" si="0"/>
        <v>283</v>
      </c>
      <c r="G13" s="2" t="s">
        <v>7</v>
      </c>
      <c r="I13" s="5" t="s">
        <v>27</v>
      </c>
      <c r="J13">
        <f>J2-J11</f>
        <v>38.800000000000182</v>
      </c>
      <c r="K13" s="2" t="s">
        <v>7</v>
      </c>
      <c r="L13" s="6">
        <f>1-J2/J11</f>
        <v>-1.4016328299978342E-2</v>
      </c>
    </row>
    <row r="14" spans="1:14" x14ac:dyDescent="0.25">
      <c r="A14" t="s">
        <v>5</v>
      </c>
      <c r="B14" t="s">
        <v>28</v>
      </c>
      <c r="C14">
        <v>86</v>
      </c>
      <c r="D14" s="2" t="s">
        <v>7</v>
      </c>
      <c r="E14">
        <v>1</v>
      </c>
      <c r="F14">
        <f t="shared" si="0"/>
        <v>86</v>
      </c>
      <c r="G14" s="2" t="s">
        <v>7</v>
      </c>
    </row>
    <row r="15" spans="1:14" x14ac:dyDescent="0.25">
      <c r="A15" t="s">
        <v>5</v>
      </c>
      <c r="B15" t="s">
        <v>29</v>
      </c>
      <c r="C15">
        <v>41</v>
      </c>
      <c r="D15" s="2" t="s">
        <v>7</v>
      </c>
      <c r="E15">
        <v>1</v>
      </c>
      <c r="F15">
        <f t="shared" si="0"/>
        <v>41</v>
      </c>
      <c r="G15" s="2" t="s">
        <v>7</v>
      </c>
    </row>
    <row r="16" spans="1:14" x14ac:dyDescent="0.25">
      <c r="A16" t="s">
        <v>5</v>
      </c>
      <c r="B16" t="s">
        <v>30</v>
      </c>
      <c r="C16">
        <v>175</v>
      </c>
      <c r="D16" s="2" t="s">
        <v>7</v>
      </c>
      <c r="E16">
        <v>1</v>
      </c>
      <c r="F16">
        <f t="shared" si="0"/>
        <v>175</v>
      </c>
      <c r="G16" s="2" t="s">
        <v>7</v>
      </c>
      <c r="I16" s="7" t="s">
        <v>31</v>
      </c>
      <c r="J16" s="7"/>
      <c r="K16" s="7"/>
    </row>
    <row r="17" spans="1:11" x14ac:dyDescent="0.25">
      <c r="A17" t="s">
        <v>5</v>
      </c>
      <c r="B17" t="s">
        <v>32</v>
      </c>
      <c r="C17">
        <v>561</v>
      </c>
      <c r="D17" s="2" t="s">
        <v>7</v>
      </c>
      <c r="E17">
        <v>1</v>
      </c>
      <c r="F17">
        <f t="shared" si="0"/>
        <v>561</v>
      </c>
      <c r="G17" s="2" t="s">
        <v>7</v>
      </c>
    </row>
    <row r="18" spans="1:11" x14ac:dyDescent="0.25">
      <c r="A18" t="s">
        <v>5</v>
      </c>
      <c r="B18" t="s">
        <v>33</v>
      </c>
      <c r="C18">
        <v>5</v>
      </c>
      <c r="D18" s="2" t="s">
        <v>7</v>
      </c>
      <c r="E18">
        <v>1</v>
      </c>
      <c r="F18">
        <f t="shared" si="0"/>
        <v>5</v>
      </c>
      <c r="G18" s="2" t="s">
        <v>7</v>
      </c>
      <c r="I18" s="5" t="s">
        <v>17</v>
      </c>
      <c r="J18" s="8">
        <v>58</v>
      </c>
      <c r="K18" s="2" t="s">
        <v>7</v>
      </c>
    </row>
    <row r="19" spans="1:11" x14ac:dyDescent="0.25">
      <c r="A19" t="s">
        <v>5</v>
      </c>
      <c r="B19" t="s">
        <v>34</v>
      </c>
      <c r="C19">
        <v>133</v>
      </c>
      <c r="D19" s="2" t="s">
        <v>7</v>
      </c>
      <c r="E19">
        <v>1</v>
      </c>
      <c r="F19">
        <f t="shared" si="0"/>
        <v>133</v>
      </c>
      <c r="G19" s="2" t="s">
        <v>7</v>
      </c>
      <c r="I19" s="5" t="s">
        <v>15</v>
      </c>
      <c r="J19" s="8">
        <v>1.5</v>
      </c>
      <c r="K19" s="2" t="s">
        <v>7</v>
      </c>
    </row>
    <row r="20" spans="1:11" x14ac:dyDescent="0.25">
      <c r="A20" t="s">
        <v>5</v>
      </c>
      <c r="B20" t="s">
        <v>35</v>
      </c>
      <c r="C20">
        <v>4</v>
      </c>
      <c r="D20" s="2" t="s">
        <v>7</v>
      </c>
      <c r="E20">
        <v>1</v>
      </c>
      <c r="F20">
        <f t="shared" si="0"/>
        <v>4</v>
      </c>
      <c r="G20" s="2" t="s">
        <v>7</v>
      </c>
      <c r="I20" s="9" t="s">
        <v>36</v>
      </c>
      <c r="J20" s="8">
        <v>2</v>
      </c>
      <c r="K20" t="s">
        <v>7</v>
      </c>
    </row>
    <row r="21" spans="1:11" x14ac:dyDescent="0.25">
      <c r="A21" t="s">
        <v>5</v>
      </c>
      <c r="B21" t="s">
        <v>37</v>
      </c>
      <c r="C21">
        <v>9</v>
      </c>
      <c r="D21" s="2" t="s">
        <v>7</v>
      </c>
      <c r="E21">
        <v>1</v>
      </c>
      <c r="F21">
        <f t="shared" si="0"/>
        <v>9</v>
      </c>
      <c r="G21" s="2" t="s">
        <v>7</v>
      </c>
      <c r="I21" s="9" t="s">
        <v>38</v>
      </c>
      <c r="J21" s="8">
        <v>1.25</v>
      </c>
      <c r="K21" t="s">
        <v>7</v>
      </c>
    </row>
    <row r="22" spans="1:11" x14ac:dyDescent="0.25">
      <c r="A22" t="s">
        <v>5</v>
      </c>
      <c r="B22" t="s">
        <v>39</v>
      </c>
      <c r="C22">
        <v>21</v>
      </c>
      <c r="D22" s="2" t="s">
        <v>7</v>
      </c>
      <c r="E22">
        <v>1</v>
      </c>
      <c r="F22">
        <f t="shared" si="0"/>
        <v>21</v>
      </c>
      <c r="G22" s="2" t="s">
        <v>7</v>
      </c>
      <c r="I22" s="9" t="s">
        <v>40</v>
      </c>
      <c r="J22" s="8">
        <v>0.7</v>
      </c>
      <c r="K22" t="s">
        <v>7</v>
      </c>
    </row>
    <row r="23" spans="1:11" x14ac:dyDescent="0.25">
      <c r="A23" t="s">
        <v>5</v>
      </c>
      <c r="B23" t="s">
        <v>41</v>
      </c>
      <c r="C23">
        <v>12</v>
      </c>
      <c r="D23" s="2" t="s">
        <v>7</v>
      </c>
      <c r="E23">
        <v>1</v>
      </c>
      <c r="F23">
        <f t="shared" si="0"/>
        <v>12</v>
      </c>
      <c r="G23" s="2" t="s">
        <v>7</v>
      </c>
    </row>
    <row r="24" spans="1:11" x14ac:dyDescent="0.25">
      <c r="A24" t="s">
        <v>5</v>
      </c>
      <c r="B24" t="s">
        <v>42</v>
      </c>
      <c r="C24">
        <v>4</v>
      </c>
      <c r="D24" s="2" t="s">
        <v>7</v>
      </c>
      <c r="E24">
        <v>1</v>
      </c>
      <c r="F24">
        <f t="shared" si="0"/>
        <v>4</v>
      </c>
      <c r="G24" s="2" t="s">
        <v>7</v>
      </c>
      <c r="I24" s="5" t="s">
        <v>43</v>
      </c>
      <c r="J24" s="8">
        <v>31</v>
      </c>
      <c r="K24" s="2" t="s">
        <v>7</v>
      </c>
    </row>
    <row r="25" spans="1:11" x14ac:dyDescent="0.25">
      <c r="A25" t="s">
        <v>5</v>
      </c>
      <c r="B25" t="s">
        <v>44</v>
      </c>
      <c r="C25">
        <v>1</v>
      </c>
      <c r="D25" s="2" t="s">
        <v>7</v>
      </c>
      <c r="E25">
        <v>1</v>
      </c>
      <c r="F25">
        <f t="shared" si="0"/>
        <v>1</v>
      </c>
      <c r="G25" s="2" t="s">
        <v>7</v>
      </c>
    </row>
    <row r="26" spans="1:11" x14ac:dyDescent="0.25">
      <c r="A26" t="s">
        <v>5</v>
      </c>
      <c r="B26" t="s">
        <v>45</v>
      </c>
      <c r="C26">
        <v>4</v>
      </c>
      <c r="D26" s="2" t="s">
        <v>7</v>
      </c>
      <c r="E26">
        <v>1</v>
      </c>
      <c r="F26">
        <f t="shared" si="0"/>
        <v>4</v>
      </c>
      <c r="G26" s="2" t="s">
        <v>7</v>
      </c>
      <c r="I26" s="9" t="s">
        <v>46</v>
      </c>
      <c r="J26" s="8">
        <v>30</v>
      </c>
      <c r="K26" s="2" t="s">
        <v>7</v>
      </c>
    </row>
    <row r="27" spans="1:11" x14ac:dyDescent="0.25">
      <c r="A27" t="s">
        <v>5</v>
      </c>
      <c r="B27" t="s">
        <v>47</v>
      </c>
      <c r="C27">
        <v>10</v>
      </c>
      <c r="D27" s="2" t="s">
        <v>7</v>
      </c>
      <c r="E27">
        <v>1</v>
      </c>
      <c r="F27">
        <f t="shared" si="0"/>
        <v>10</v>
      </c>
      <c r="G27" s="2" t="s">
        <v>7</v>
      </c>
      <c r="I27" s="9" t="s">
        <v>48</v>
      </c>
      <c r="J27" s="8">
        <v>3</v>
      </c>
      <c r="K27" s="2" t="s">
        <v>7</v>
      </c>
    </row>
    <row r="28" spans="1:11" x14ac:dyDescent="0.25">
      <c r="A28" t="s">
        <v>5</v>
      </c>
      <c r="B28" t="s">
        <v>49</v>
      </c>
      <c r="C28">
        <v>32</v>
      </c>
      <c r="D28" s="2" t="s">
        <v>7</v>
      </c>
      <c r="E28">
        <v>1</v>
      </c>
      <c r="F28">
        <f t="shared" si="0"/>
        <v>32</v>
      </c>
      <c r="G28" s="2" t="s">
        <v>7</v>
      </c>
    </row>
    <row r="29" spans="1:11" x14ac:dyDescent="0.25">
      <c r="A29" t="s">
        <v>5</v>
      </c>
      <c r="B29" t="s">
        <v>13</v>
      </c>
      <c r="C29">
        <v>1</v>
      </c>
      <c r="D29" s="2" t="s">
        <v>7</v>
      </c>
      <c r="E29">
        <v>2</v>
      </c>
      <c r="F29">
        <f t="shared" si="0"/>
        <v>2</v>
      </c>
      <c r="G29" s="2" t="s">
        <v>7</v>
      </c>
      <c r="I29" s="5" t="s">
        <v>50</v>
      </c>
      <c r="J29" s="8">
        <v>46.5</v>
      </c>
      <c r="K29" s="2" t="s">
        <v>7</v>
      </c>
    </row>
    <row r="30" spans="1:11" x14ac:dyDescent="0.25">
      <c r="A30" t="s">
        <v>5</v>
      </c>
      <c r="B30" s="2" t="s">
        <v>51</v>
      </c>
      <c r="C30">
        <v>28</v>
      </c>
      <c r="D30" s="2" t="s">
        <v>7</v>
      </c>
      <c r="E30">
        <v>1</v>
      </c>
      <c r="F30">
        <f t="shared" si="0"/>
        <v>28</v>
      </c>
      <c r="G30" s="2" t="s">
        <v>7</v>
      </c>
    </row>
    <row r="31" spans="1:11" x14ac:dyDescent="0.25">
      <c r="A31" t="s">
        <v>5</v>
      </c>
      <c r="B31" s="2" t="s">
        <v>52</v>
      </c>
      <c r="C31" s="2">
        <v>1.2</v>
      </c>
      <c r="D31" s="2" t="s">
        <v>7</v>
      </c>
      <c r="E31">
        <v>18</v>
      </c>
      <c r="F31">
        <f t="shared" si="0"/>
        <v>21.599999999999998</v>
      </c>
      <c r="G31" s="2" t="s">
        <v>7</v>
      </c>
      <c r="I31" s="5" t="s">
        <v>53</v>
      </c>
      <c r="J31" s="8">
        <v>6.5</v>
      </c>
      <c r="K31" s="2" t="s">
        <v>7</v>
      </c>
    </row>
    <row r="33" spans="1:11" x14ac:dyDescent="0.25">
      <c r="B33" s="10" t="s">
        <v>54</v>
      </c>
      <c r="E33" s="2" t="s">
        <v>55</v>
      </c>
      <c r="F33" s="3">
        <f>SUM(F2:F31)</f>
        <v>1539.6</v>
      </c>
      <c r="G33" s="2" t="s">
        <v>56</v>
      </c>
      <c r="I33" s="5" t="s">
        <v>57</v>
      </c>
      <c r="J33" s="8">
        <v>2.25</v>
      </c>
      <c r="K33" s="2" t="s">
        <v>7</v>
      </c>
    </row>
    <row r="34" spans="1:11" x14ac:dyDescent="0.25">
      <c r="I34" s="5" t="s">
        <v>58</v>
      </c>
      <c r="J34" s="8">
        <v>1.5</v>
      </c>
      <c r="K34" s="2" t="s">
        <v>7</v>
      </c>
    </row>
    <row r="36" spans="1:11" x14ac:dyDescent="0.25">
      <c r="A36" s="1" t="s">
        <v>0</v>
      </c>
      <c r="B36" s="1" t="s">
        <v>1</v>
      </c>
      <c r="C36" s="1" t="s">
        <v>2</v>
      </c>
      <c r="D36" s="1"/>
      <c r="E36" s="1" t="s">
        <v>3</v>
      </c>
      <c r="F36" s="1" t="s">
        <v>4</v>
      </c>
      <c r="I36" s="9" t="s">
        <v>5</v>
      </c>
      <c r="J36" s="8">
        <v>283</v>
      </c>
      <c r="K36" t="s">
        <v>7</v>
      </c>
    </row>
    <row r="37" spans="1:11" x14ac:dyDescent="0.25">
      <c r="A37" t="s">
        <v>59</v>
      </c>
      <c r="B37" s="9" t="s">
        <v>60</v>
      </c>
      <c r="C37">
        <f>J24</f>
        <v>31</v>
      </c>
      <c r="D37" t="s">
        <v>7</v>
      </c>
      <c r="E37">
        <v>1</v>
      </c>
      <c r="F37">
        <f>C37*E37</f>
        <v>31</v>
      </c>
    </row>
    <row r="38" spans="1:11" x14ac:dyDescent="0.25">
      <c r="A38" t="s">
        <v>59</v>
      </c>
      <c r="B38" s="9" t="s">
        <v>36</v>
      </c>
      <c r="C38">
        <f>J20</f>
        <v>2</v>
      </c>
      <c r="D38" t="s">
        <v>7</v>
      </c>
      <c r="E38">
        <v>2</v>
      </c>
      <c r="F38">
        <f t="shared" ref="F38:F40" si="1">C38*E38</f>
        <v>4</v>
      </c>
    </row>
    <row r="39" spans="1:11" x14ac:dyDescent="0.25">
      <c r="A39" t="s">
        <v>59</v>
      </c>
      <c r="B39" s="9" t="s">
        <v>61</v>
      </c>
      <c r="C39">
        <f>J21</f>
        <v>1.25</v>
      </c>
      <c r="D39" t="s">
        <v>7</v>
      </c>
      <c r="E39">
        <v>2</v>
      </c>
      <c r="F39">
        <f t="shared" si="1"/>
        <v>2.5</v>
      </c>
    </row>
    <row r="40" spans="1:11" x14ac:dyDescent="0.25">
      <c r="A40" t="s">
        <v>59</v>
      </c>
      <c r="B40" s="9" t="s">
        <v>40</v>
      </c>
      <c r="C40">
        <f>J22</f>
        <v>0.7</v>
      </c>
      <c r="D40" t="s">
        <v>7</v>
      </c>
      <c r="E40">
        <v>18</v>
      </c>
      <c r="F40">
        <f t="shared" si="1"/>
        <v>12.6</v>
      </c>
    </row>
    <row r="41" spans="1:11" x14ac:dyDescent="0.25">
      <c r="E41" t="s">
        <v>62</v>
      </c>
      <c r="F41" s="11">
        <f>SUM(F37:F40)</f>
        <v>50.1</v>
      </c>
    </row>
    <row r="42" spans="1:11" x14ac:dyDescent="0.25">
      <c r="E42" t="s">
        <v>63</v>
      </c>
      <c r="F42" s="1">
        <v>50</v>
      </c>
    </row>
    <row r="43" spans="1:11" x14ac:dyDescent="0.25">
      <c r="E43" t="s">
        <v>64</v>
      </c>
      <c r="F43" s="12">
        <f>ABS(1-(F42/F41))</f>
        <v>1.9960079840319889E-3</v>
      </c>
    </row>
    <row r="45" spans="1:11" x14ac:dyDescent="0.25">
      <c r="A45" t="s">
        <v>65</v>
      </c>
      <c r="B45" s="9" t="s">
        <v>66</v>
      </c>
      <c r="C45">
        <f>J26</f>
        <v>30</v>
      </c>
      <c r="D45" t="s">
        <v>7</v>
      </c>
      <c r="E45">
        <v>1</v>
      </c>
      <c r="F45">
        <f>C45*E45</f>
        <v>30</v>
      </c>
    </row>
    <row r="46" spans="1:11" x14ac:dyDescent="0.25">
      <c r="A46" t="s">
        <v>65</v>
      </c>
      <c r="B46" s="9" t="s">
        <v>67</v>
      </c>
      <c r="C46">
        <f>J27</f>
        <v>3</v>
      </c>
      <c r="D46" t="s">
        <v>7</v>
      </c>
      <c r="E46">
        <v>1</v>
      </c>
      <c r="F46">
        <f t="shared" ref="F46:F48" si="2">C46*E46</f>
        <v>3</v>
      </c>
    </row>
    <row r="47" spans="1:11" x14ac:dyDescent="0.25">
      <c r="A47" t="s">
        <v>65</v>
      </c>
      <c r="B47" s="9" t="s">
        <v>68</v>
      </c>
      <c r="C47">
        <f>J18</f>
        <v>58</v>
      </c>
      <c r="D47" t="s">
        <v>7</v>
      </c>
      <c r="E47">
        <v>2</v>
      </c>
      <c r="F47">
        <f t="shared" si="2"/>
        <v>116</v>
      </c>
    </row>
    <row r="48" spans="1:11" x14ac:dyDescent="0.25">
      <c r="B48" s="9" t="s">
        <v>69</v>
      </c>
      <c r="C48">
        <f>J19</f>
        <v>1.5</v>
      </c>
      <c r="D48" t="s">
        <v>7</v>
      </c>
      <c r="E48">
        <v>2</v>
      </c>
      <c r="F48">
        <f t="shared" si="2"/>
        <v>3</v>
      </c>
    </row>
    <row r="49" spans="1:6" x14ac:dyDescent="0.25">
      <c r="E49" t="s">
        <v>62</v>
      </c>
      <c r="F49" s="11">
        <f>SUM(F45:F48)</f>
        <v>152</v>
      </c>
    </row>
    <row r="50" spans="1:6" x14ac:dyDescent="0.25">
      <c r="E50" t="s">
        <v>63</v>
      </c>
      <c r="F50" s="1">
        <v>152</v>
      </c>
    </row>
    <row r="51" spans="1:6" x14ac:dyDescent="0.25">
      <c r="E51" t="s">
        <v>64</v>
      </c>
      <c r="F51" s="12">
        <f>ABS(1-(F50/F49))</f>
        <v>0</v>
      </c>
    </row>
    <row r="53" spans="1:6" x14ac:dyDescent="0.25">
      <c r="A53" t="s">
        <v>70</v>
      </c>
      <c r="B53" s="5" t="s">
        <v>71</v>
      </c>
      <c r="C53">
        <f>J29</f>
        <v>46.5</v>
      </c>
      <c r="D53" t="s">
        <v>7</v>
      </c>
      <c r="E53">
        <v>1</v>
      </c>
      <c r="F53">
        <f>C53*E53</f>
        <v>46.5</v>
      </c>
    </row>
    <row r="54" spans="1:6" x14ac:dyDescent="0.25">
      <c r="A54" t="s">
        <v>70</v>
      </c>
      <c r="B54" s="9" t="s">
        <v>36</v>
      </c>
      <c r="C54">
        <f>J20</f>
        <v>2</v>
      </c>
      <c r="D54" t="s">
        <v>7</v>
      </c>
      <c r="E54">
        <v>2</v>
      </c>
      <c r="F54">
        <f t="shared" ref="F54:F56" si="3">C54*E54</f>
        <v>4</v>
      </c>
    </row>
    <row r="55" spans="1:6" x14ac:dyDescent="0.25">
      <c r="A55" t="s">
        <v>70</v>
      </c>
      <c r="B55" s="9" t="s">
        <v>61</v>
      </c>
      <c r="C55">
        <f>J21</f>
        <v>1.25</v>
      </c>
      <c r="D55" t="s">
        <v>7</v>
      </c>
      <c r="E55">
        <v>2</v>
      </c>
      <c r="F55">
        <f t="shared" si="3"/>
        <v>2.5</v>
      </c>
    </row>
    <row r="56" spans="1:6" x14ac:dyDescent="0.25">
      <c r="A56" t="s">
        <v>70</v>
      </c>
      <c r="B56" s="9" t="s">
        <v>40</v>
      </c>
      <c r="C56">
        <f>J22</f>
        <v>0.7</v>
      </c>
      <c r="D56" t="s">
        <v>7</v>
      </c>
      <c r="E56">
        <v>9</v>
      </c>
      <c r="F56">
        <f t="shared" si="3"/>
        <v>6.3</v>
      </c>
    </row>
    <row r="57" spans="1:6" x14ac:dyDescent="0.25">
      <c r="E57" t="s">
        <v>62</v>
      </c>
      <c r="F57" s="11">
        <f>SUM(F53:F56)</f>
        <v>59.3</v>
      </c>
    </row>
    <row r="58" spans="1:6" x14ac:dyDescent="0.25">
      <c r="E58" t="s">
        <v>63</v>
      </c>
      <c r="F58" s="1">
        <v>59</v>
      </c>
    </row>
    <row r="59" spans="1:6" x14ac:dyDescent="0.25">
      <c r="E59" t="s">
        <v>64</v>
      </c>
      <c r="F59" s="12">
        <f>ABS(1-(F58/F57))</f>
        <v>5.0590219224282418E-3</v>
      </c>
    </row>
    <row r="61" spans="1:6" x14ac:dyDescent="0.25">
      <c r="A61" t="s">
        <v>72</v>
      </c>
      <c r="B61" s="5" t="s">
        <v>73</v>
      </c>
      <c r="C61">
        <f>J31</f>
        <v>6.5</v>
      </c>
      <c r="D61" t="s">
        <v>7</v>
      </c>
      <c r="E61">
        <v>1</v>
      </c>
      <c r="F61">
        <f>C61*E61</f>
        <v>6.5</v>
      </c>
    </row>
    <row r="62" spans="1:6" x14ac:dyDescent="0.25">
      <c r="A62" t="s">
        <v>72</v>
      </c>
      <c r="B62" s="5" t="s">
        <v>57</v>
      </c>
      <c r="C62">
        <f>J33</f>
        <v>2.25</v>
      </c>
      <c r="D62" t="s">
        <v>7</v>
      </c>
      <c r="E62">
        <v>2</v>
      </c>
      <c r="F62">
        <f t="shared" ref="F62:F63" si="4">C62*E62</f>
        <v>4.5</v>
      </c>
    </row>
    <row r="63" spans="1:6" x14ac:dyDescent="0.25">
      <c r="A63" t="s">
        <v>72</v>
      </c>
      <c r="B63" s="5" t="s">
        <v>58</v>
      </c>
      <c r="C63">
        <f>J34</f>
        <v>1.5</v>
      </c>
      <c r="D63" t="s">
        <v>7</v>
      </c>
      <c r="E63">
        <v>2</v>
      </c>
      <c r="F63">
        <f t="shared" si="4"/>
        <v>3</v>
      </c>
    </row>
    <row r="64" spans="1:6" x14ac:dyDescent="0.25">
      <c r="B64" s="9"/>
      <c r="E64" t="s">
        <v>62</v>
      </c>
      <c r="F64" s="11">
        <f>SUM(F61:F63)</f>
        <v>14</v>
      </c>
    </row>
    <row r="65" spans="5:6" x14ac:dyDescent="0.25">
      <c r="E65" t="s">
        <v>63</v>
      </c>
      <c r="F65" s="1">
        <v>14</v>
      </c>
    </row>
    <row r="66" spans="5:6" x14ac:dyDescent="0.25">
      <c r="E66" t="s">
        <v>64</v>
      </c>
      <c r="F66" s="12">
        <f>ABS(1-(F65/F64))</f>
        <v>0</v>
      </c>
    </row>
    <row r="68" spans="5:6" x14ac:dyDescent="0.25">
      <c r="E68" s="1" t="s">
        <v>74</v>
      </c>
      <c r="F68" s="1"/>
    </row>
    <row r="69" spans="5:6" x14ac:dyDescent="0.25">
      <c r="E69" t="s">
        <v>62</v>
      </c>
      <c r="F69" s="11">
        <f>SUM(F41+F49+F57+F64)</f>
        <v>275.39999999999998</v>
      </c>
    </row>
    <row r="70" spans="5:6" x14ac:dyDescent="0.25">
      <c r="E70" t="s">
        <v>63</v>
      </c>
      <c r="F70" s="1">
        <f>SUM(F42+F50+F58+F65)</f>
        <v>275</v>
      </c>
    </row>
    <row r="71" spans="5:6" x14ac:dyDescent="0.25">
      <c r="E71" t="s">
        <v>64</v>
      </c>
      <c r="F71" s="12">
        <f>ABS(1-(F70/F69))</f>
        <v>1.4524328249817531E-3</v>
      </c>
    </row>
  </sheetData>
  <mergeCells count="1">
    <mergeCell ref="I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Manicardi</dc:creator>
  <cp:lastModifiedBy>Matteo Manicardi</cp:lastModifiedBy>
  <dcterms:created xsi:type="dcterms:W3CDTF">2026-10-31T08:13:20Z</dcterms:created>
  <dcterms:modified xsi:type="dcterms:W3CDTF">2026-10-31T08:13:55Z</dcterms:modified>
</cp:coreProperties>
</file>