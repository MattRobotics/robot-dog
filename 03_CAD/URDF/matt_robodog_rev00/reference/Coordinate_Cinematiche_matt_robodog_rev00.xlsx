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32a1c080541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int_Parameters" sheetId="1" r:id="Rf7033cf6200c41ac"/>
    <x:sheet xmlns:r="http://schemas.openxmlformats.org/officeDocument/2006/relationships" name="Reference_Notes" sheetId="3" r:id="Rf23dc6b6793341fe"/>
    <x:sheet xmlns:r="http://schemas.openxmlformats.org/officeDocument/2006/relationships" name="Inertial_Properties" sheetId="8" r:id="R5becdc4f4a3748fd"/>
    <x:sheet xmlns:r="http://schemas.openxmlformats.org/officeDocument/2006/relationships" name="CAD_Source_Data" sheetId="9" r:id="Rb42a47e7720546a0"/>
    <x:sheet xmlns:r="http://schemas.openxmlformats.org/officeDocument/2006/relationships" name="Mass_Reconciliation" sheetId="10" r:id="R07eb66efad014705"/>
    <x:sheet xmlns:r="http://schemas.openxmlformats.org/officeDocument/2006/relationships" name="Weight_Evidence_2026-10-30" sheetId="12" r:id="R9644a9d2bbba4bdf"/>
    <x:sheet xmlns:r="http://schemas.openxmlformats.org/officeDocument/2006/relationships" name="ST3215_3S_Reference" sheetId="14" r:id="Rc29563c048ff45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"/>
    <x:numFmt numFmtId="201" formatCode="0.0000"/>
    <x:numFmt numFmtId="202" formatCode="0.000000"/>
    <x:numFmt numFmtId="203" formatCode="0.000000000000000"/>
    <x:numFmt numFmtId="204" formatCode="0.0000000000"/>
    <x:numFmt numFmtId="205" formatCode="0.00"/>
    <x:numFmt numFmtId="206" formatCode="0.0%"/>
    <x:numFmt numFmtId="207" formatCode="0&quot; RPM&quot;"/>
  </x:numFmts>
  <x:fonts count="29">
    <x:font>
      <x:sz val="11"/>
      <x:name val="Carlito"/>
    </x:font>
    <x:font>
      <x:b/>
      <x:sz val="15"/>
      <x:color rgb="FFFFFFFF"/>
      <x:name val="Carlito"/>
    </x:font>
    <x:font>
      <x:i/>
      <x:sz val="10"/>
      <x:color rgb="FF163A5F"/>
      <x:name val="Carlito"/>
    </x:font>
    <x:font>
      <x:sz val="10"/>
      <x:color rgb="FF1F2937"/>
      <x:name val="Carlito"/>
    </x:font>
    <x:font>
      <x:b/>
      <x:sz val="10"/>
      <x:color rgb="FF163A5F"/>
      <x:name val="Carlito"/>
    </x:font>
    <x:font>
      <x:b/>
      <x:sz val="10"/>
      <x:color rgb="FF166534"/>
      <x:name val="Carlito"/>
    </x:font>
    <x:font>
      <x:b/>
      <x:sz val="10"/>
      <x:color rgb="FFFFFFFF"/>
      <x:name val="Carlito"/>
    </x:font>
    <x:font>
      <x:b/>
      <x:i/>
      <x:sz val="10"/>
      <x:color rgb="FF475569"/>
      <x:name val="Carlito"/>
    </x:font>
    <x:font>
      <x:i/>
      <x:sz val="10"/>
      <x:color rgb="FF475569"/>
      <x:name val="Carlito"/>
    </x:font>
    <x:font>
      <x:b/>
      <x:sz val="10"/>
      <x:color rgb="FF1F2937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10"/>
      <x:color rgb="FF2C5C7C"/>
      <x:name val="Carlito"/>
    </x:font>
    <x:font>
      <x:i/>
      <x:sz val="10"/>
      <x:color rgb="FF7A4A00"/>
      <x:name val="Carlito"/>
    </x:font>
    <x:font>
      <x:b/>
      <x:sz val="11"/>
      <x:color rgb="FF173F64"/>
      <x:name val="Carlito"/>
    </x:font>
    <x:font>
      <x:i/>
      <x:sz val="11"/>
      <x:color rgb="FF1F2937"/>
      <x:name val="Carlito"/>
    </x:font>
    <x:font>
      <x:i/>
      <x:sz val="10"/>
      <x:color rgb="FF1F1F1F"/>
      <x:name val="Carlito"/>
    </x:font>
    <x:font>
      <x:sz val="11"/>
      <x:color rgb="FF9C0006"/>
      <x:name val="Carlito"/>
    </x:font>
    <x:font>
      <x:b/>
      <x:sz val="11"/>
      <x:color rgb="FF1F1F1F"/>
      <x:name val="Carlito"/>
    </x:font>
    <x:font>
      <x:sz val="11"/>
      <x:color rgb="FF7F6000"/>
      <x:name val="Carlito"/>
    </x:font>
    <x:font>
      <x:b/>
      <x:sz val="11"/>
      <x:color rgb="FF006100"/>
      <x:name val="Carlito"/>
    </x:font>
    <x:font>
      <x:i/>
      <x:sz val="11"/>
      <x:color rgb="FF29475A"/>
      <x:name val="Carlito"/>
    </x:font>
    <x:font>
      <x:b/>
      <x:sz val="11"/>
      <x:name val="Carlito"/>
    </x:font>
    <x:font>
      <x:b/>
      <x:sz val="11"/>
      <x:color rgb="FF0B6455"/>
      <x:name val="Carlito"/>
    </x:font>
    <x:font>
      <x:b/>
      <x:sz val="11"/>
      <x:color rgb="FF8A4D18"/>
      <x:name val="Carlito"/>
    </x:font>
    <x:font>
      <x:b/>
      <x:sz val="11"/>
      <x:color rgb="FF29475A"/>
      <x:name val="Carlito"/>
    </x:font>
    <x:font>
      <x:sz val="11"/>
      <x:color rgb="FF17324D"/>
      <x:name val="Carlito"/>
    </x:font>
    <x:font>
      <x:b/>
      <x:sz val="11"/>
      <x:color rgb="FF9A4A00"/>
      <x:name val="Carlito"/>
    </x:font>
    <x:font>
      <x:b/>
      <x:sz val="11"/>
      <x:color rgb="FF17324D"/>
      <x:name val="Carlito"/>
    </x:font>
  </x:fonts>
  <x:fills count="40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AF3F8"/>
      </x:patternFill>
    </x:fill>
    <x:fill>
      <x:patternFill patternType="solid">
        <x:fgColor rgb="FFE7F6F4"/>
      </x:patternFill>
    </x:fill>
    <x:fill>
      <x:patternFill patternType="solid">
        <x:fgColor rgb="FFDCFCE7"/>
      </x:patternFill>
    </x:fill>
    <x:fill>
      <x:patternFill patternType="solid">
        <x:fgColor rgb="FF1F6E9C"/>
      </x:patternFill>
    </x:fill>
    <x:fill>
      <x:patternFill patternType="solid">
        <x:fgColor rgb="FFF1F5F9"/>
      </x:patternFill>
    </x:fill>
    <x:fill>
      <x:patternFill patternType="solid">
        <x:fgColor rgb="FFF3F4F6"/>
      </x:patternFill>
    </x:fill>
    <x:fill>
      <x:patternFill patternType="solid">
        <x:fgColor rgb="FFFFF7ED"/>
      </x:patternFill>
    </x:fill>
    <x:fill>
      <x:patternFill patternType="solid">
        <x:fgColor rgb="FFD97706"/>
      </x:patternFill>
    </x:fill>
    <x:fill>
      <x:patternFill patternType="solid">
        <x:fgColor rgb="FF173F64"/>
      </x:patternFill>
    </x:fill>
    <x:fill>
      <x:patternFill patternType="solid">
        <x:fgColor rgb="FFEAF3F8"/>
      </x:patternFill>
    </x:fill>
    <x:fill>
      <x:patternFill patternType="solid">
        <x:fgColor rgb="FF2C7FB0"/>
      </x:patternFill>
    </x:fill>
    <x:fill>
      <x:patternFill patternType="solid">
        <x:fgColor rgb="FFFFF7E6"/>
      </x:patternFill>
    </x:fill>
    <x:fill>
      <x:patternFill patternType="solid">
        <x:fgColor rgb="FFD7ECF6"/>
      </x:patternFill>
    </x:fill>
    <x:fill>
      <x:patternFill patternType="solid">
        <x:fgColor rgb="FFEEF6FB"/>
      </x:patternFill>
    </x:fill>
    <x:fill>
      <x:patternFill patternType="solid">
        <x:fgColor rgb="FFFFF4E5"/>
      </x:patternFill>
    </x:fill>
    <x:fill>
      <x:patternFill patternType="solid">
        <x:fgColor rgb="FFF4F7FA"/>
      </x:patternFill>
    </x:fill>
    <x:fill>
      <x:patternFill patternType="solid">
        <x:fgColor rgb="FFE7F6E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CE4D6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24A"/>
      </x:patternFill>
    </x:fill>
    <x:fill>
      <x:patternFill patternType="solid">
        <x:fgColor rgb="FFE8F1F6"/>
      </x:patternFill>
    </x:fill>
    <x:fill>
      <x:patternFill patternType="solid">
        <x:fgColor rgb="FFDCEFE9"/>
      </x:patternFill>
    </x:fill>
    <x:fill>
      <x:patternFill patternType="solid">
        <x:fgColor rgb="FFFBE8D8"/>
      </x:patternFill>
    </x:fill>
    <x:fill>
      <x:patternFill patternType="solid">
        <x:fgColor rgb="FFFFF1D6"/>
      </x:patternFill>
    </x:fill>
    <x:fill>
      <x:patternFill patternType="solid">
        <x:fgColor rgb="FF17324D"/>
      </x:patternFill>
    </x:fill>
    <x:fill>
      <x:patternFill patternType="solid">
        <x:fgColor rgb="FF27496B"/>
      </x:patternFill>
    </x:fill>
    <x:fill>
      <x:patternFill patternType="solid">
        <x:fgColor rgb="FF087E8B"/>
      </x:patternFill>
    </x:fill>
    <x:fill>
      <x:patternFill patternType="solid">
        <x:fgColor rgb="FFEAF4F7"/>
      </x:patternFill>
    </x:fill>
    <x:fill>
      <x:patternFill patternType="solid">
        <x:fgColor rgb="FFFFF1CA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4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3" fillId="7" borderId="1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horizontal="center" vertical="center"/>
    </x:xf>
    <x:xf numFmtId="0" fontId="3" fillId="8" borderId="1" xfId="0" applyNumberFormat="1" applyFont="1" applyFill="1" applyBorder="1" applyAlignment="1">
      <x:alignment vertical="center"/>
    </x:xf>
    <x:xf numFmtId="0" fontId="7" fillId="8" borderId="1" xfId="0" applyNumberFormat="1" applyFont="1" applyFill="1" applyBorder="1" applyAlignment="1">
      <x:alignment horizontal="center" vertical="center"/>
    </x:xf>
    <x:xf numFmtId="0" fontId="8" fillId="8" borderId="1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horizontal="center" vertical="center"/>
    </x:xf>
    <x:xf numFmtId="0" fontId="3" fillId="9" borderId="1" xfId="0" applyNumberFormat="1" applyFont="1" applyFill="1" applyBorder="1" applyAlignment="1">
      <x:alignment vertical="center"/>
    </x:xf>
    <x:xf numFmtId="0" fontId="3" fillId="9" borderId="1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vertical="center"/>
    </x:xf>
    <x:xf numFmtId="200" fontId="8" fillId="8" borderId="0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200" fontId="8" fillId="8" borderId="1" xfId="0" applyNumberFormat="1" applyFont="1" applyFill="1" applyBorder="1" applyAlignment="1">
      <x:alignment vertical="center"/>
    </x:xf>
    <x:xf numFmtId="200" fontId="3" fillId="9" borderId="0" xfId="0" applyNumberFormat="1" applyFont="1" applyFill="1" applyBorder="1" applyAlignment="1">
      <x:alignment horizontal="center" vertical="center"/>
    </x:xf>
    <x:xf numFmtId="200" fontId="3" fillId="9" borderId="1" xfId="0" applyNumberFormat="1" applyFont="1" applyFill="1" applyBorder="1" applyAlignment="1">
      <x:alignment horizontal="center"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9" borderId="0" xfId="0" applyNumberFormat="1" applyFont="1" applyFill="1" applyBorder="1" applyAlignment="1">
      <x:alignment horizontal="center" vertical="center"/>
    </x:xf>
    <x:xf numFmtId="201" fontId="8" fillId="8" borderId="0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201" fontId="3" fillId="9" borderId="1" xfId="0" applyNumberFormat="1" applyFont="1" applyFill="1" applyBorder="1" applyAlignment="1">
      <x:alignment horizontal="center" vertical="center"/>
    </x:xf>
    <x:xf numFmtId="201" fontId="8" fillId="8" borderId="1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3" fillId="9" borderId="0" xfId="0" applyNumberFormat="1" applyFont="1" applyFill="1" applyBorder="1" applyAlignment="1">
      <x:alignment horizontal="center" vertical="center"/>
    </x:xf>
    <x:xf numFmtId="202" fontId="8" fillId="8" borderId="0" xfId="0" applyNumberFormat="1" applyFont="1" applyFill="1" applyBorder="1" applyAlignment="1">
      <x:alignment vertical="center"/>
    </x:xf>
    <x:xf numFmtId="202" fontId="3" fillId="0" borderId="1" xfId="0" applyNumberFormat="1" applyFont="1" applyFill="1" applyBorder="1" applyAlignment="1">
      <x:alignment vertical="center"/>
    </x:xf>
    <x:xf numFmtId="202" fontId="3" fillId="9" borderId="1" xfId="0" applyNumberFormat="1" applyFont="1" applyFill="1" applyBorder="1" applyAlignment="1">
      <x:alignment horizontal="center" vertical="center"/>
    </x:xf>
    <x:xf numFmtId="202" fontId="8" fillId="8" borderId="1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 applyAlignment="1">
      <x:alignment vertical="center"/>
    </x:xf>
    <x:xf numFmtId="0" fontId="9" fillId="9" borderId="1" xfId="0" applyNumberFormat="1" applyFont="1" applyFill="1" applyBorder="1" applyAlignment="1">
      <x:alignment vertical="center"/>
    </x:xf>
    <x:xf numFmtId="201" fontId="9" fillId="9" borderId="0" xfId="0" applyNumberFormat="1" applyFont="1" applyFill="1" applyBorder="1" applyAlignment="1">
      <x:alignment vertical="center"/>
    </x:xf>
    <x:xf numFmtId="201" fontId="9" fillId="9" borderId="1" xfId="0" applyNumberFormat="1" applyFont="1" applyFill="1" applyBorder="1" applyAlignment="1">
      <x:alignment vertical="center"/>
    </x:xf>
    <x:xf numFmtId="200" fontId="9" fillId="9" borderId="0" xfId="0" applyNumberFormat="1" applyFont="1" applyFill="1" applyBorder="1" applyAlignment="1">
      <x:alignment vertical="center"/>
    </x:xf>
    <x:xf numFmtId="200" fontId="9" fillId="9" borderId="1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0" fontId="4" fillId="4" borderId="0" xfId="0" applyNumberFormat="1" applyFont="1" applyFill="1" applyBorder="1" applyAlignment="1">
      <x:alignment horizontal="left" vertical="center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left"/>
    </x:xf>
    <x:xf numFmtId="0" fontId="4" fillId="4" borderId="1" xfId="0" applyNumberFormat="1" applyFont="1" applyFill="1" applyBorder="1" applyAlignment="1">
      <x:alignment horizontal="left" vertical="center"/>
    </x:xf>
    <x:xf numFmtId="0" fontId="3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left"/>
    </x:xf>
    <x:xf numFmtId="0" fontId="10" fillId="6" borderId="0" xfId="0" applyNumberFormat="1" applyFont="1" applyFill="1" applyBorder="1" applyAlignment="1">
      <x:alignment horizontal="left" vertical="center"/>
    </x:xf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horizontal="left"/>
    </x:xf>
    <x:xf numFmtId="0" fontId="10" fillId="6" borderId="1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horizontal="left"/>
    </x:xf>
    <x:xf numFmtId="0" fontId="10" fillId="10" borderId="0" xfId="0" applyNumberFormat="1" applyFont="1" applyFill="1" applyBorder="1" applyAlignment="1">
      <x:alignment horizontal="left" vertical="center"/>
    </x:xf>
    <x:xf numFmtId="0" fontId="0" fillId="10" borderId="1" xfId="0" applyNumberFormat="1" applyFont="1" applyFill="1" applyBorder="1"/>
    <x:xf numFmtId="0" fontId="10" fillId="10" borderId="1" xfId="0" applyNumberFormat="1" applyFont="1" applyFill="1" applyBorder="1"/>
    <x:xf numFmtId="0" fontId="10" fillId="10" borderId="1" xfId="0" applyNumberFormat="1" applyFont="1" applyFill="1" applyBorder="1" applyAlignment="1">
      <x:alignment horizontal="left"/>
    </x:xf>
    <x:xf numFmtId="0" fontId="10" fillId="10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0" fillId="9" borderId="1" xfId="0" applyNumberFormat="1" applyFont="1" applyFill="1" applyBorder="1"/>
    <x:xf numFmtId="0" fontId="9" fillId="9" borderId="1" xfId="0" applyNumberFormat="1" applyFont="1" applyFill="1" applyBorder="1"/>
    <x:xf numFmtId="0" fontId="0" fillId="0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 applyAlignment="1">
      <x:alignment horizontal="center" vertical="center"/>
    </x:xf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horizontal="center"/>
    </x:xf>
    <x:xf numFmtId="0" fontId="2" fillId="12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12" fillId="12" borderId="0" xfId="0" applyNumberFormat="1" applyFont="1" applyFill="1" applyBorder="1" applyAlignment="1">
      <x:alignment horizontal="left" vertical="center"/>
    </x:xf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horizontal="left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wrapText="1"/>
    </x:xf>
    <x:xf numFmtId="0" fontId="6" fillId="13" borderId="0" xfId="0" applyNumberFormat="1" applyFont="1" applyFill="1" applyBorder="1" applyAlignment="1">
      <x:alignment horizontal="center" wrapText="1"/>
    </x:xf>
    <x:xf numFmtId="0" fontId="6" fillId="1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13" borderId="2" xfId="0" applyNumberFormat="1" applyFont="1" applyFill="1" applyBorder="1" applyAlignment="1">
      <x:alignment horizontal="center" vertical="center" wrapText="1"/>
    </x:xf>
    <x:xf numFmtId="0" fontId="6" fillId="13" borderId="3" xfId="0" applyNumberFormat="1" applyFont="1" applyFill="1" applyBorder="1" applyAlignment="1">
      <x:alignment horizontal="center" vertical="center" wrapText="1"/>
    </x:xf>
    <x:xf numFmtId="0" fontId="6" fillId="13" borderId="4" xfId="0" applyNumberFormat="1" applyFont="1" applyFill="1" applyBorder="1" applyAlignment="1">
      <x:alignment horizontal="center" vertical="center" wrapText="1"/>
    </x:xf>
    <x:xf numFmtId="200" fontId="0" fillId="0" borderId="5" xfId="0" applyNumberFormat="1" applyFont="1" applyFill="1" applyBorder="1" applyAlignment="1">
      <x:alignment wrapText="1"/>
    </x:xf>
    <x:xf numFmtId="201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vertical="center" wrapText="1"/>
    </x:xf>
    <x:xf numFmtId="201" fontId="0" fillId="0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1" fontId="0" fillId="0" borderId="8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3" fillId="14" borderId="0" xfId="0" applyNumberFormat="1" applyFont="1" applyFill="1" applyBorder="1"/>
    <x:xf numFmtId="0" fontId="13" fillId="14" borderId="0" xfId="0" applyNumberFormat="1" applyFont="1" applyFill="1" applyBorder="1" applyAlignment="1">
      <x:alignment wrapText="1"/>
    </x:xf>
    <x:xf numFmtId="0" fontId="13" fillId="14" borderId="2" xfId="0" applyNumberFormat="1" applyFont="1" applyFill="1" applyBorder="1" applyAlignment="1">
      <x:alignment wrapText="1"/>
    </x:xf>
    <x:xf numFmtId="0" fontId="13" fillId="14" borderId="3" xfId="0" applyNumberFormat="1" applyFont="1" applyFill="1" applyBorder="1" applyAlignment="1">
      <x:alignment wrapText="1"/>
    </x:xf>
    <x:xf numFmtId="0" fontId="13" fillId="14" borderId="4" xfId="0" applyNumberFormat="1" applyFont="1" applyFill="1" applyBorder="1" applyAlignment="1">
      <x:alignment wrapText="1"/>
    </x:xf>
    <x:xf numFmtId="0" fontId="13" fillId="14" borderId="7" xfId="0" applyNumberFormat="1" applyFont="1" applyFill="1" applyBorder="1" applyAlignment="1">
      <x:alignment wrapText="1"/>
    </x:xf>
    <x:xf numFmtId="0" fontId="13" fillId="14" borderId="8" xfId="0" applyNumberFormat="1" applyFont="1" applyFill="1" applyBorder="1" applyAlignment="1">
      <x:alignment wrapText="1"/>
    </x:xf>
    <x:xf numFmtId="0" fontId="13" fillId="14" borderId="9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xfId="0" applyNumberFormat="1" applyFont="1" applyFill="1" applyBorder="0"/>
    <x:xf numFmtId="200" fontId="0" fillId="0" xfId="0" applyNumberFormat="1" applyFont="1" applyFill="1" applyBorder="0"/>
    <x:xf numFmtId="201" fontId="0" fillId="0" xfId="0" applyNumberFormat="1" applyFont="1" applyFill="1" applyBorder="0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200" fontId="0" fillId="0" xfId="0" applyNumberFormat="1" applyFont="1" applyFill="1" applyBorder="0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center" wrapText="1"/>
    </x:xf>
    <x:xf numFmtId="200" fontId="0" fillId="0" xfId="0" applyNumberFormat="1" applyFont="1" applyFill="1" applyBorder="0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0" fontId="0" fillId="15" borderId="5" xfId="0" applyNumberFormat="1" applyFont="1" applyFill="1" applyBorder="1" applyAlignment="1">
      <x:alignment vertical="center" wrapText="1"/>
    </x:xf>
    <x:xf numFmtId="0" fontId="0" fillId="15" xfId="0" applyNumberFormat="1" applyFont="1" applyFill="1" applyBorder="0" applyAlignment="1">
      <x:alignment vertical="center" wrapText="1"/>
    </x:xf>
    <x:xf numFmtId="200" fontId="0" fillId="15" xfId="0" applyNumberFormat="1" applyFont="1" applyFill="1" applyBorder="0" applyAlignment="1">
      <x:alignment vertical="center" wrapText="1"/>
    </x:xf>
    <x:xf numFmtId="201" fontId="0" fillId="15" xfId="0" applyNumberFormat="1" applyFont="1" applyFill="1" applyBorder="0" applyAlignment="1">
      <x:alignment vertical="center" wrapText="1"/>
    </x:xf>
    <x:xf numFmtId="0" fontId="0" fillId="15" borderId="6" xfId="0" applyNumberFormat="1" applyFont="1" applyFill="1" applyBorder="1" applyAlignment="1">
      <x:alignment vertical="center" wrapText="1"/>
    </x:xf>
    <x:xf numFmtId="0" fontId="0" fillId="16" borderId="5" xfId="0" applyNumberFormat="1" applyFont="1" applyFill="1" applyBorder="1" applyAlignment="1">
      <x:alignment vertical="center" wrapText="1"/>
    </x:xf>
    <x:xf numFmtId="0" fontId="0" fillId="16" xfId="0" applyNumberFormat="1" applyFont="1" applyFill="1" applyBorder="0" applyAlignment="1">
      <x:alignment vertical="center" wrapText="1"/>
    </x:xf>
    <x:xf numFmtId="200" fontId="0" fillId="16" xfId="0" applyNumberFormat="1" applyFont="1" applyFill="1" applyBorder="0" applyAlignment="1">
      <x:alignment vertical="center" wrapText="1"/>
    </x:xf>
    <x:xf numFmtId="201" fontId="0" fillId="16" xfId="0" applyNumberFormat="1" applyFont="1" applyFill="1" applyBorder="0" applyAlignment="1">
      <x:alignment vertical="center" wrapText="1"/>
    </x:xf>
    <x:xf numFmtId="0" fontId="0" fillId="16" borderId="6" xfId="0" applyNumberFormat="1" applyFont="1" applyFill="1" applyBorder="1" applyAlignment="1">
      <x:alignment vertical="center" wrapText="1"/>
    </x:xf>
    <x:xf numFmtId="0" fontId="0" fillId="17" borderId="5" xfId="0" applyNumberFormat="1" applyFont="1" applyFill="1" applyBorder="1" applyAlignment="1">
      <x:alignment vertical="center" wrapText="1"/>
    </x:xf>
    <x:xf numFmtId="0" fontId="0" fillId="17" xfId="0" applyNumberFormat="1" applyFont="1" applyFill="1" applyBorder="0" applyAlignment="1">
      <x:alignment vertical="center" wrapText="1"/>
    </x:xf>
    <x:xf numFmtId="200" fontId="0" fillId="17" xfId="0" applyNumberFormat="1" applyFont="1" applyFill="1" applyBorder="0" applyAlignment="1">
      <x:alignment vertical="center" wrapText="1"/>
    </x:xf>
    <x:xf numFmtId="201" fontId="0" fillId="17" xfId="0" applyNumberFormat="1" applyFont="1" applyFill="1" applyBorder="0" applyAlignment="1">
      <x:alignment vertical="center" wrapText="1"/>
    </x:xf>
    <x:xf numFmtId="0" fontId="0" fillId="17" borderId="6" xfId="0" applyNumberFormat="1" applyFont="1" applyFill="1" applyBorder="1" applyAlignment="1">
      <x:alignment vertical="center" wrapText="1"/>
    </x:xf>
    <x:xf numFmtId="0" fontId="0" fillId="18" borderId="5" xfId="0" applyNumberFormat="1" applyFont="1" applyFill="1" applyBorder="1" applyAlignment="1">
      <x:alignment vertical="center" wrapText="1"/>
    </x:xf>
    <x:xf numFmtId="0" fontId="0" fillId="18" xfId="0" applyNumberFormat="1" applyFont="1" applyFill="1" applyBorder="0" applyAlignment="1">
      <x:alignment vertical="center" wrapText="1"/>
    </x:xf>
    <x:xf numFmtId="200" fontId="0" fillId="18" xfId="0" applyNumberFormat="1" applyFont="1" applyFill="1" applyBorder="0" applyAlignment="1">
      <x:alignment vertical="center" wrapText="1"/>
    </x:xf>
    <x:xf numFmtId="201" fontId="0" fillId="18" xfId="0" applyNumberFormat="1" applyFont="1" applyFill="1" applyBorder="0" applyAlignment="1">
      <x:alignment vertical="center" wrapText="1"/>
    </x:xf>
    <x:xf numFmtId="0" fontId="0" fillId="18" borderId="6" xfId="0" applyNumberFormat="1" applyFont="1" applyFill="1" applyBorder="1" applyAlignment="1">
      <x:alignment vertical="center" wrapText="1"/>
    </x:xf>
    <x:xf numFmtId="0" fontId="0" fillId="19" borderId="5" xfId="0" applyNumberFormat="1" applyFont="1" applyFill="1" applyBorder="1" applyAlignment="1">
      <x:alignment vertical="center" wrapText="1"/>
    </x:xf>
    <x:xf numFmtId="0" fontId="0" fillId="19" xfId="0" applyNumberFormat="1" applyFont="1" applyFill="1" applyBorder="0" applyAlignment="1">
      <x:alignment vertical="center" wrapText="1"/>
    </x:xf>
    <x:xf numFmtId="200" fontId="0" fillId="19" xfId="0" applyNumberFormat="1" applyFont="1" applyFill="1" applyBorder="0" applyAlignment="1">
      <x:alignment vertical="center" wrapText="1"/>
    </x:xf>
    <x:xf numFmtId="201" fontId="0" fillId="19" xfId="0" applyNumberFormat="1" applyFont="1" applyFill="1" applyBorder="0" applyAlignment="1">
      <x:alignment vertical="center" wrapText="1"/>
    </x:xf>
    <x:xf numFmtId="0" fontId="0" fillId="19" borderId="6" xfId="0" applyNumberFormat="1" applyFont="1" applyFill="1" applyBorder="1" applyAlignment="1">
      <x:alignment vertical="center" wrapText="1"/>
    </x:xf>
    <x:xf numFmtId="0" fontId="0" fillId="19" borderId="7" xfId="0" applyNumberFormat="1" applyFont="1" applyFill="1" applyBorder="1" applyAlignment="1">
      <x:alignment vertical="center" wrapText="1"/>
    </x:xf>
    <x:xf numFmtId="0" fontId="0" fillId="19" borderId="8" xfId="0" applyNumberFormat="1" applyFont="1" applyFill="1" applyBorder="1" applyAlignment="1">
      <x:alignment vertical="center" wrapText="1"/>
    </x:xf>
    <x:xf numFmtId="200" fontId="0" fillId="19" borderId="8" xfId="0" applyNumberFormat="1" applyFont="1" applyFill="1" applyBorder="1" applyAlignment="1">
      <x:alignment vertical="center" wrapText="1"/>
    </x:xf>
    <x:xf numFmtId="201" fontId="0" fillId="19" borderId="8" xfId="0" applyNumberFormat="1" applyFont="1" applyFill="1" applyBorder="1" applyAlignment="1">
      <x:alignment vertical="center" wrapText="1"/>
    </x:xf>
    <x:xf numFmtId="0" fontId="0" fillId="19" borderId="9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200" fontId="0" fillId="0" borderId="9" xfId="0" applyNumberFormat="1" applyFont="1" applyFill="1" applyBorder="1"/>
    <x:xf numFmtId="0" fontId="0" fillId="12" borderId="5" xfId="0" applyNumberFormat="1" applyFont="1" applyFill="1" applyBorder="1"/>
    <x:xf numFmtId="0" fontId="0" fillId="12" borderId="7" xfId="0" applyNumberFormat="1" applyFont="1" applyFill="1" applyBorder="1"/>
    <x:xf numFmtId="0" fontId="0" fillId="19" borderId="7" xfId="0" applyNumberFormat="1" applyFont="1" applyFill="1" applyBorder="1"/>
    <x:xf numFmtId="200" fontId="0" fillId="19" borderId="9" xfId="0" applyNumberFormat="1" applyFont="1" applyFill="1" applyBorder="1"/>
    <x:xf numFmtId="0" fontId="0" fillId="15" borderId="0" xfId="0" applyNumberFormat="1" applyFont="1" applyFill="1" applyBorder="1"/>
    <x:xf numFmtId="0" fontId="14" fillId="15" borderId="0" xfId="0" applyNumberFormat="1" applyFont="1" applyFill="1" applyBorder="1"/>
    <x:xf numFmtId="0" fontId="14" fillId="15" borderId="0" xfId="0" applyNumberFormat="1" applyFont="1" applyFill="1" applyBorder="1" applyAlignment="1">
      <x:alignment horizontal="left"/>
    </x:xf>
    <x:xf numFmtId="0" fontId="14" fillId="15" borderId="0" xfId="0" applyNumberFormat="1" applyFont="1" applyFill="1" applyBorder="1" applyAlignment="1">
      <x:alignment horizontal="left" vertical="center"/>
    </x:xf>
    <x:xf numFmtId="0" fontId="14" fillId="15" borderId="0" xfId="0" applyNumberFormat="1" applyFont="1" applyFill="1" applyBorder="1" applyAlignment="1">
      <x:alignment horizontal="left" vertical="center" wrapText="1"/>
    </x:xf>
    <x:xf numFmtId="0" fontId="14" fillId="15" borderId="2" xfId="0" applyNumberFormat="1" applyFont="1" applyFill="1" applyBorder="1" applyAlignment="1">
      <x:alignment horizontal="left" vertical="center" wrapText="1"/>
    </x:xf>
    <x:xf numFmtId="0" fontId="14" fillId="15" borderId="3" xfId="0" applyNumberFormat="1" applyFont="1" applyFill="1" applyBorder="1" applyAlignment="1">
      <x:alignment horizontal="left" vertical="center" wrapText="1"/>
    </x:xf>
    <x:xf numFmtId="0" fontId="14" fillId="15" borderId="4" xfId="0" applyNumberFormat="1" applyFont="1" applyFill="1" applyBorder="1" applyAlignment="1">
      <x:alignment horizontal="left" vertical="center" wrapText="1"/>
    </x:xf>
    <x:xf numFmtId="0" fontId="0" fillId="15" borderId="5" xfId="0" applyNumberFormat="1" applyFont="1" applyFill="1" applyBorder="1" applyAlignment="1">
      <x:alignment wrapText="1"/>
    </x:xf>
    <x:xf numFmtId="0" fontId="0" fillId="15" borderId="7" xfId="0" applyNumberFormat="1" applyFont="1" applyFill="1" applyBorder="1" applyAlignment="1">
      <x:alignment wrapText="1"/>
    </x:xf>
    <x:xf numFmtId="0" fontId="0" fillId="15" borderId="5" xfId="0" applyNumberFormat="1" applyFont="1" applyFill="1" applyBorder="1" applyAlignment="1">
      <x:alignment horizontal="center" wrapText="1"/>
    </x:xf>
    <x:xf numFmtId="0" fontId="0" fillId="15" borderId="7" xfId="0" applyNumberFormat="1" applyFont="1" applyFill="1" applyBorder="1" applyAlignment="1">
      <x:alignment horizontal="center" wrapText="1"/>
    </x:xf>
    <x:xf numFmtId="0" fontId="12" fillId="3" borderId="0" xfId="0" applyNumberFormat="1" applyFont="1" applyFill="1" applyBorder="1" applyAlignment="1">
      <x:alignment horizontal="left" vertical="center"/>
    </x:xf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 applyAlignment="1">
      <x:alignment vertical="center" wrapText="1"/>
    </x:xf>
    <x:xf numFmtId="200" fontId="0" fillId="19" borderId="0" xfId="0" applyNumberFormat="1" applyFont="1" applyFill="1" applyBorder="1" applyAlignment="1">
      <x:alignment vertical="center" wrapText="1"/>
    </x:xf>
    <x:xf numFmtId="201" fontId="0" fillId="19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200" fontId="0" fillId="19" borderId="0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horizontal="center" wrapText="1"/>
    </x:xf>
    <x:xf numFmtId="203" fontId="3" fillId="0" borderId="0" xfId="0" applyNumberFormat="1" applyFont="1" applyFill="1" applyBorder="1" applyAlignment="1">
      <x:alignment vertical="center"/>
    </x:xf>
    <x:xf numFmtId="203" fontId="3" fillId="9" borderId="0" xfId="0" applyNumberFormat="1" applyFont="1" applyFill="1" applyBorder="1" applyAlignment="1">
      <x:alignment horizontal="center" vertical="center"/>
    </x:xf>
    <x:xf numFmtId="203" fontId="8" fillId="8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/>
    <x:xf numFmtId="0" fontId="11" fillId="20" borderId="0" xfId="0" applyNumberFormat="1" applyFont="1" applyFill="1" applyBorder="1"/>
    <x:xf numFmtId="0" fontId="11" fillId="20" borderId="0" xfId="0" applyNumberFormat="1" applyFont="1" applyFill="1" applyBorder="1" applyAlignment="1">
      <x:alignment horizontal="left"/>
    </x:xf>
    <x:xf numFmtId="0" fontId="11" fillId="20" borderId="0" xfId="0" applyNumberFormat="1" applyFont="1" applyFill="1" applyBorder="1" applyAlignment="1">
      <x:alignment horizontal="left" vertical="center"/>
    </x:xf>
    <x:xf numFmtId="0" fontId="0" fillId="21" borderId="0" xfId="0" applyNumberFormat="1" applyFont="1" applyFill="1" applyBorder="1"/>
    <x:xf numFmtId="0" fontId="15" fillId="21" borderId="0" xfId="0" applyNumberFormat="1" applyFont="1" applyFill="1" applyBorder="1"/>
    <x:xf numFmtId="0" fontId="15" fillId="21" borderId="0" xfId="0" applyNumberFormat="1" applyFont="1" applyFill="1" applyBorder="1" applyAlignment="1">
      <x:alignment wrapText="1"/>
    </x:xf>
    <x:xf numFmtId="0" fontId="15" fillId="21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0" fillId="22" borderId="0" xfId="0" applyNumberFormat="1" applyFont="1" applyFill="1" applyBorder="1"/>
    <x:xf numFmtId="0" fontId="10" fillId="22" borderId="0" xfId="0" applyNumberFormat="1" applyFont="1" applyFill="1" applyBorder="1" applyAlignment="1">
      <x:alignment wrapText="1"/>
    </x:xf>
    <x:xf numFmtId="0" fontId="10" fillId="22" borderId="0" xfId="0" applyNumberFormat="1" applyFont="1" applyFill="1" applyBorder="1" applyAlignment="1">
      <x:alignment horizontal="center" wrapText="1"/>
    </x:xf>
    <x:xf numFmtId="0" fontId="10" fillId="2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3" borderId="0" xfId="0" applyNumberFormat="1" applyFont="1" applyFill="1" applyBorder="1"/>
    <x:xf numFmtId="0" fontId="11" fillId="23" borderId="0" xfId="0" applyNumberFormat="1" applyFont="1" applyFill="1" applyBorder="1"/>
    <x:xf numFmtId="0" fontId="11" fillId="23" borderId="0" xfId="0" applyNumberFormat="1" applyFont="1" applyFill="1" applyBorder="1" applyAlignment="1">
      <x:alignment horizontal="left"/>
    </x:xf>
    <x:xf numFmtId="0" fontId="11" fillId="23" borderId="0" xfId="0" applyNumberFormat="1" applyFont="1" applyFill="1" applyBorder="1" applyAlignment="1">
      <x:alignment horizontal="left" vertical="center"/>
    </x:xf>
    <x:xf numFmtId="0" fontId="0" fillId="24" borderId="0" xfId="0" applyNumberFormat="1" applyFont="1" applyFill="1" applyBorder="1"/>
    <x:xf numFmtId="0" fontId="16" fillId="24" borderId="0" xfId="0" applyNumberFormat="1" applyFont="1" applyFill="1" applyBorder="1"/>
    <x:xf numFmtId="0" fontId="16" fillId="24" borderId="0" xfId="0" applyNumberFormat="1" applyFont="1" applyFill="1" applyBorder="1" applyAlignment="1">
      <x:alignment wrapText="1"/>
    </x:xf>
    <x:xf numFmtId="0" fontId="16" fillId="24" borderId="0" xfId="0" applyNumberFormat="1" applyFont="1" applyFill="1" applyBorder="1" applyAlignment="1">
      <x:alignment horizontal="left" wrapText="1"/>
    </x:xf>
    <x:xf numFmtId="0" fontId="16" fillId="24" borderId="0" xfId="0" applyNumberFormat="1" applyFont="1" applyFill="1" applyBorder="1" applyAlignment="1">
      <x:alignment horizontal="left" vertical="center" wrapText="1"/>
    </x:xf>
    <x:xf numFmtId="0" fontId="0" fillId="25" borderId="0" xfId="0" applyNumberFormat="1" applyFont="1" applyFill="1" applyBorder="1"/>
    <x:xf numFmtId="0" fontId="10" fillId="25" borderId="0" xfId="0" applyNumberFormat="1" applyFont="1" applyFill="1" applyBorder="1"/>
    <x:xf numFmtId="0" fontId="10" fillId="25" borderId="0" xfId="0" applyNumberFormat="1" applyFont="1" applyFill="1" applyBorder="1" applyAlignment="1">
      <x:alignment wrapText="1"/>
    </x:xf>
    <x:xf numFmtId="0" fontId="10" fillId="25" borderId="0" xfId="0" applyNumberFormat="1" applyFont="1" applyFill="1" applyBorder="1" applyAlignment="1">
      <x:alignment horizontal="center" wrapText="1"/>
    </x:xf>
    <x:xf numFmtId="0" fontId="10" fillId="25" borderId="0" xfId="0" applyNumberFormat="1" applyFont="1" applyFill="1" applyBorder="1" applyAlignment="1">
      <x:alignment horizontal="center" vertical="center" wrapText="1"/>
    </x:xf>
    <x:xf numFmtId="0" fontId="10" fillId="25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vertical="top" wrapText="1"/>
    </x:xf>
    <x:xf numFmtId="204" fontId="0" fillId="0" xfId="0" applyNumberFormat="1" applyFont="1" applyFill="1" applyBorder="0" applyAlignment="1">
      <x:alignment vertical="top" wrapText="1"/>
    </x:xf>
    <x:xf numFmtId="202" fontId="0" fillId="0" xfId="0" applyNumberFormat="1" applyFont="1" applyFill="1" applyBorder="0" applyAlignment="1">
      <x:alignment vertical="top" wrapText="1"/>
    </x:xf>
    <x:xf numFmtId="0" fontId="10" fillId="25" borderId="0" xfId="0" applyNumberFormat="1" applyFont="1" applyFill="1" applyBorder="1" applyAlignment="1">
      <x:alignment horizontal="center" vertical="top" wrapText="1"/>
    </x:xf>
    <x:xf numFmtId="0" fontId="10" fillId="25" xfId="0" applyNumberFormat="1" applyFont="1" applyFill="1" applyBorder="0" applyAlignment="1">
      <x:alignment horizontal="center" vertical="top" wrapText="1"/>
    </x:xf>
    <x:xf numFmtId="201" fontId="0" fillId="0" xfId="0" applyNumberFormat="1" applyFont="1" applyFill="1" applyBorder="0" applyAlignment="1">
      <x:alignment vertical="top" wrapText="1"/>
    </x:xf>
    <x:xf numFmtId="205" fontId="0" fillId="0" xfId="0" applyNumberFormat="1" applyFont="1" applyFill="1" applyBorder="0" applyAlignment="1">
      <x:alignment vertical="top" wrapText="1"/>
    </x:xf>
    <x:xf numFmtId="206" fontId="0" fillId="0" xfId="0" applyNumberFormat="1" applyFont="1" applyFill="1" applyBorder="0" applyAlignment="1">
      <x:alignment vertical="top" wrapText="1"/>
    </x:xf>
    <x:xf numFmtId="0" fontId="0" fillId="26" xfId="0" applyNumberFormat="1" applyFont="1" applyFill="1" applyBorder="0" applyAlignment="1">
      <x:alignment vertical="top" wrapText="1"/>
    </x:xf>
    <x:xf numFmtId="0" fontId="17" fillId="26" xfId="0" applyNumberFormat="1" applyFont="1" applyFill="1" applyBorder="0" applyAlignment="1">
      <x:alignment vertical="top" wrapText="1"/>
    </x:xf>
    <x:xf numFmtId="0" fontId="0" fillId="27" xfId="0" applyNumberFormat="1" applyFont="1" applyFill="1" applyBorder="0" applyAlignment="1">
      <x:alignment vertical="top" wrapText="1"/>
    </x:xf>
    <x:xf numFmtId="201" fontId="0" fillId="27" xfId="0" applyNumberFormat="1" applyFont="1" applyFill="1" applyBorder="0" applyAlignment="1">
      <x:alignment vertical="top" wrapText="1"/>
    </x:xf>
    <x:xf numFmtId="0" fontId="18" fillId="27" xfId="0" applyNumberFormat="1" applyFont="1" applyFill="1" applyBorder="0" applyAlignment="1">
      <x:alignment vertical="top" wrapText="1"/>
    </x:xf>
    <x:xf numFmtId="201" fontId="18" fillId="27" xfId="0" applyNumberFormat="1" applyFont="1" applyFill="1" applyBorder="0" applyAlignment="1">
      <x:alignment vertical="top" wrapText="1"/>
    </x:xf>
    <x:xf numFmtId="0" fontId="18" fillId="27" xfId="0" applyNumberFormat="1" applyFont="1" applyFill="1" applyBorder="0" applyAlignment="1">
      <x:alignment horizontal="left" vertical="top" wrapText="1"/>
    </x:xf>
    <x:xf numFmtId="201" fontId="18" fillId="27" xfId="0" applyNumberFormat="1" applyFont="1" applyFill="1" applyBorder="0" applyAlignment="1">
      <x:alignment horizontal="left" vertical="top" wrapText="1"/>
    </x:xf>
    <x:xf numFmtId="0" fontId="18" fillId="27" xfId="0" applyNumberFormat="1" applyFont="1" applyFill="1" applyBorder="0" applyAlignment="1">
      <x:alignment horizontal="left" vertical="center" wrapText="1"/>
    </x:xf>
    <x:xf numFmtId="201" fontId="18" fillId="27" xfId="0" applyNumberFormat="1" applyFont="1" applyFill="1" applyBorder="0" applyAlignment="1">
      <x:alignment horizontal="left" vertical="center" wrapText="1"/>
    </x:xf>
    <x:xf numFmtId="0" fontId="0" fillId="28" borderId="0" xfId="0" applyNumberFormat="1" applyFont="1" applyFill="1" applyBorder="1"/>
    <x:xf numFmtId="0" fontId="19" fillId="28" borderId="0" xfId="0" applyNumberFormat="1" applyFont="1" applyFill="1" applyBorder="1"/>
    <x:xf numFmtId="0" fontId="19" fillId="28" borderId="0" xfId="0" applyNumberFormat="1" applyFont="1" applyFill="1" applyBorder="1" applyAlignment="1">
      <x:alignment wrapText="1"/>
    </x:xf>
    <x:xf numFmtId="0" fontId="19" fillId="28" borderId="0" xfId="0" applyNumberFormat="1" applyFont="1" applyFill="1" applyBorder="1" applyAlignment="1">
      <x:alignment vertical="top" wrapText="1"/>
    </x:xf>
    <x:xf numFmtId="0" fontId="11" fillId="23" borderId="0" xfId="0" applyNumberFormat="1" applyFont="1" applyFill="1" applyBorder="1" applyAlignment="1">
      <x:alignment horizontal="center" vertical="center"/>
    </x:xf>
    <x:xf numFmtId="0" fontId="12" fillId="24" borderId="0" xfId="0" applyNumberFormat="1" applyFont="1" applyFill="1" applyBorder="1" applyAlignment="1">
      <x:alignment horizontal="left" vertical="center"/>
    </x:xf>
    <x:xf numFmtId="0" fontId="16" fillId="24" borderId="0" xfId="0" applyNumberFormat="1" applyFont="1" applyFill="1" applyBorder="1" applyAlignment="1">
      <x:alignment horizontal="left" vertical="center"/>
    </x:xf>
    <x:xf numFmtId="0" fontId="6" fillId="13" borderId="0" xfId="0" applyNumberFormat="1" applyFont="1" applyFill="1" applyBorder="1" applyAlignment="1">
      <x:alignment horizontal="center"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0" fillId="15" xfId="0" applyNumberFormat="1" applyFont="1" applyFill="1" applyBorder="0" applyAlignment="1">
      <x:alignment vertical="top" wrapText="1"/>
    </x:xf>
    <x:xf numFmtId="201" fontId="0" fillId="15" xfId="0" applyNumberFormat="1" applyFont="1" applyFill="1" applyBorder="0" applyAlignment="1">
      <x:alignment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0" fillId="16" xfId="0" applyNumberFormat="1" applyFont="1" applyFill="1" applyBorder="0" applyAlignment="1">
      <x:alignment vertical="top" wrapText="1"/>
    </x:xf>
    <x:xf numFmtId="201" fontId="0" fillId="16" xfId="0" applyNumberFormat="1" applyFont="1" applyFill="1" applyBorder="0" applyAlignment="1">
      <x:alignment vertical="top" wrapText="1"/>
    </x:xf>
    <x:xf numFmtId="0" fontId="0" fillId="17" borderId="0" xfId="0" applyNumberFormat="1" applyFont="1" applyFill="1" applyBorder="1" applyAlignment="1">
      <x:alignment vertical="top" wrapText="1"/>
    </x:xf>
    <x:xf numFmtId="0" fontId="0" fillId="17" xfId="0" applyNumberFormat="1" applyFont="1" applyFill="1" applyBorder="0" applyAlignment="1">
      <x:alignment vertical="top" wrapText="1"/>
    </x:xf>
    <x:xf numFmtId="201" fontId="0" fillId="17" xfId="0" applyNumberFormat="1" applyFont="1" applyFill="1" applyBorder="0" applyAlignment="1">
      <x:alignment vertical="top" wrapText="1"/>
    </x:xf>
    <x:xf numFmtId="0" fontId="0" fillId="18" borderId="0" xfId="0" applyNumberFormat="1" applyFont="1" applyFill="1" applyBorder="1" applyAlignment="1">
      <x:alignment vertical="top" wrapText="1"/>
    </x:xf>
    <x:xf numFmtId="0" fontId="0" fillId="18" xfId="0" applyNumberFormat="1" applyFont="1" applyFill="1" applyBorder="0" applyAlignment="1">
      <x:alignment vertical="top" wrapText="1"/>
    </x:xf>
    <x:xf numFmtId="201" fontId="0" fillId="18" xfId="0" applyNumberFormat="1" applyFont="1" applyFill="1" applyBorder="0" applyAlignment="1">
      <x:alignment vertical="top" wrapText="1"/>
    </x:xf>
    <x:xf numFmtId="0" fontId="0" fillId="19" borderId="0" xfId="0" applyNumberFormat="1" applyFont="1" applyFill="1" applyBorder="1" applyAlignment="1">
      <x:alignment vertical="top" wrapText="1"/>
    </x:xf>
    <x:xf numFmtId="0" fontId="0" fillId="19" xfId="0" applyNumberFormat="1" applyFont="1" applyFill="1" applyBorder="0" applyAlignment="1">
      <x:alignment vertical="top" wrapText="1"/>
    </x:xf>
    <x:xf numFmtId="201" fontId="0" fillId="19" xfId="0" applyNumberFormat="1" applyFont="1" applyFill="1" applyBorder="0" applyAlignment="1">
      <x:alignment vertical="top" wrapText="1"/>
    </x:xf>
    <x:xf numFmtId="201" fontId="0" fillId="19" borderId="0" xfId="0" applyNumberFormat="1" applyFont="1" applyFill="1" applyBorder="1" applyAlignment="1">
      <x:alignment vertical="top" wrapText="1"/>
    </x:xf>
    <x:xf numFmtId="0" fontId="6" fillId="25" borderId="0" xfId="0" applyNumberFormat="1" applyFont="1" applyFill="1" applyBorder="1" applyAlignment="1">
      <x:alignment horizontal="center" vertical="top" wrapText="1"/>
    </x:xf>
    <x:xf numFmtId="0" fontId="6" fillId="25" borderId="0" xfId="0" applyNumberFormat="1" applyFont="1" applyFill="1" applyBorder="1" applyAlignment="1">
      <x:alignment horizontal="center" vertical="center" wrapText="1"/>
    </x:xf>
    <x:xf numFmtId="0" fontId="6" fillId="25" xfId="0" applyNumberFormat="1" applyFont="1" applyFill="1" applyBorder="0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vertical="center" wrapText="1"/>
    </x:xf>
    <x:xf numFmtId="201" fontId="9" fillId="9" borderId="0" xfId="0" applyNumberFormat="1" applyFont="1" applyFill="1" applyBorder="1" applyAlignment="1">
      <x:alignment vertical="center" wrapText="1"/>
    </x:xf>
    <x:xf numFmtId="200" fontId="9" fillId="9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9" fillId="9" borderId="0" xfId="0" applyNumberFormat="1" applyFont="1" applyFill="1" applyBorder="1" applyAlignment="1">
      <x:alignment vertical="top" wrapText="1"/>
    </x:xf>
    <x:xf numFmtId="201" fontId="9" fillId="9" borderId="0" xfId="0" applyNumberFormat="1" applyFont="1" applyFill="1" applyBorder="1" applyAlignment="1">
      <x:alignment vertical="top" wrapText="1"/>
    </x:xf>
    <x:xf numFmtId="200" fontId="9" fillId="9" borderId="0" xfId="0" applyNumberFormat="1" applyFont="1" applyFill="1" applyBorder="1" applyAlignment="1">
      <x:alignment vertical="top" wrapText="1"/>
    </x:xf>
    <x:xf numFmtId="0" fontId="3" fillId="0" xfId="0" applyNumberFormat="1" applyFont="1" applyFill="1" applyBorder="0" applyAlignment="1">
      <x:alignment vertical="top" wrapText="1"/>
    </x:xf>
    <x:xf numFmtId="201" fontId="3" fillId="0" xfId="0" applyNumberFormat="1" applyFont="1" applyFill="1" applyBorder="0" applyAlignment="1">
      <x:alignment vertical="top" wrapText="1"/>
    </x:xf>
    <x:xf numFmtId="200" fontId="3" fillId="0" xfId="0" applyNumberFormat="1" applyFont="1" applyFill="1" applyBorder="0" applyAlignment="1">
      <x:alignment vertical="top" wrapText="1"/>
    </x:xf>
    <x:xf numFmtId="0" fontId="9" fillId="9" xfId="0" applyNumberFormat="1" applyFont="1" applyFill="1" applyBorder="0" applyAlignment="1">
      <x:alignment vertical="top" wrapText="1"/>
    </x:xf>
    <x:xf numFmtId="201" fontId="9" fillId="9" xfId="0" applyNumberFormat="1" applyFont="1" applyFill="1" applyBorder="0" applyAlignment="1">
      <x:alignment vertical="top" wrapText="1"/>
    </x:xf>
    <x:xf numFmtId="200" fontId="9" fillId="9" xfId="0" applyNumberFormat="1" applyFont="1" applyFill="1" applyBorder="0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 applyAlignment="1">
      <x:alignment wrapText="1"/>
    </x:xf>
    <x:xf numFmtId="200" fontId="0" fillId="19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19" borderId="0" xfId="0" applyNumberFormat="1" applyFont="1" applyFill="1" applyBorder="1" applyAlignment="1">
      <x:alignment vertical="top" wrapText="1"/>
    </x:xf>
    <x:xf numFmtId="0" fontId="13" fillId="14" borderId="0" xfId="0" applyNumberFormat="1" applyFont="1" applyFill="1" applyBorder="1" applyAlignment="1">
      <x:alignment vertical="top" wrapText="1"/>
    </x:xf>
    <x:xf numFmtId="0" fontId="0" fillId="3" xfId="0" applyNumberFormat="1" applyFont="1" applyFill="1" applyBorder="0" applyAlignment="1">
      <x:alignment vertical="top" wrapText="1"/>
    </x:xf>
    <x:xf numFmtId="200" fontId="0" fillId="0" xfId="0" applyNumberFormat="1" applyFont="1" applyFill="1" applyBorder="0" applyAlignment="1">
      <x:alignment vertical="top" wrapText="1"/>
    </x:xf>
    <x:xf numFmtId="200" fontId="0" fillId="19" xfId="0" applyNumberFormat="1" applyFont="1" applyFill="1" applyBorder="0" applyAlignment="1">
      <x:alignment vertical="top" wrapText="1"/>
    </x:xf>
    <x:xf numFmtId="0" fontId="13" fillId="14" xfId="0" applyNumberFormat="1" applyFont="1" applyFill="1" applyBorder="0" applyAlignment="1">
      <x:alignment vertical="top" wrapText="1"/>
    </x:xf>
    <x:xf numFmtId="0" fontId="0" fillId="27" borderId="0" xfId="0" applyNumberFormat="1" applyFont="1" applyFill="1" applyBorder="1"/>
    <x:xf numFmtId="0" fontId="18" fillId="27" borderId="0" xfId="0" applyNumberFormat="1" applyFont="1" applyFill="1" applyBorder="1"/>
    <x:xf numFmtId="0" fontId="18" fillId="27" borderId="0" xfId="0" applyNumberFormat="1" applyFont="1" applyFill="1" applyBorder="1" applyAlignment="1">
      <x:alignment horizontal="left"/>
    </x:xf>
    <x:xf numFmtId="0" fontId="18" fillId="27" borderId="0" xfId="0" applyNumberFormat="1" applyFont="1" applyFill="1" applyBorder="1" applyAlignment="1">
      <x:alignment horizontal="left" vertical="center"/>
    </x:xf>
    <x:xf numFmtId="0" fontId="14" fillId="15" borderId="0" xfId="0" applyNumberFormat="1" applyFont="1" applyFill="1" applyBorder="1" applyAlignment="1">
      <x:alignment horizontal="left" vertical="top" wrapText="1"/>
    </x:xf>
    <x:xf numFmtId="0" fontId="0" fillId="15" borderId="0" xfId="0" applyNumberFormat="1" applyFont="1" applyFill="1" applyBorder="1" applyAlignment="1">
      <x:alignment horizontal="center" vertical="top" wrapText="1"/>
    </x:xf>
    <x:xf numFmtId="0" fontId="18" fillId="27" xfId="0" applyNumberFormat="1" applyFont="1" applyFill="1" applyBorder="0" applyAlignment="1">
      <x:alignment horizontal="left" vertical="center"/>
    </x:xf>
    <x:xf numFmtId="0" fontId="14" fillId="15" xfId="0" applyNumberFormat="1" applyFont="1" applyFill="1" applyBorder="0" applyAlignment="1">
      <x:alignment horizontal="left" vertical="top" wrapText="1"/>
    </x:xf>
    <x:xf numFmtId="0" fontId="0" fillId="15" xfId="0" applyNumberFormat="1" applyFont="1" applyFill="1" applyBorder="0" applyAlignment="1">
      <x:alignment horizontal="center" vertical="top" wrapText="1"/>
    </x:xf>
    <x:xf numFmtId="0" fontId="15" fillId="24" borderId="0" xfId="0" applyNumberFormat="1" applyFont="1" applyFill="1" applyBorder="1" applyAlignment="1">
      <x:alignment vertical="center" wrapText="1"/>
    </x:xf>
    <x:xf numFmtId="0" fontId="16" fillId="24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 applyAlignment="1">
      <x:alignment vertical="top" wrapText="1"/>
    </x:xf>
    <x:xf numFmtId="0" fontId="20" fillId="29" borderId="0" xfId="0" applyNumberFormat="1" applyFont="1" applyFill="1" applyBorder="1" applyAlignment="1">
      <x:alignment vertical="top" wrapText="1"/>
    </x:xf>
    <x:xf numFmtId="0" fontId="0" fillId="28" borderId="0" xfId="0" applyNumberFormat="1" applyFont="1" applyFill="1" applyBorder="1" applyAlignment="1">
      <x:alignment vertical="top" wrapText="1"/>
    </x:xf>
    <x:xf numFmtId="0" fontId="10" fillId="22" xfId="0" applyNumberFormat="1" applyFont="1" applyFill="1" applyBorder="0" applyAlignment="1">
      <x:alignment horizontal="center" vertical="center" wrapText="1"/>
    </x:xf>
    <x:xf numFmtId="0" fontId="20" fillId="29" xfId="0" applyNumberFormat="1" applyFont="1" applyFill="1" applyBorder="0" applyAlignment="1">
      <x:alignment vertical="top" wrapText="1"/>
    </x:xf>
    <x:xf numFmtId="0" fontId="19" fillId="28" xfId="0" applyNumberFormat="1" applyFont="1" applyFill="1" applyBorder="0" applyAlignment="1">
      <x:alignment vertical="top" wrapText="1"/>
    </x:xf>
    <x:xf numFmtId="0" fontId="11" fillId="22" borderId="0" xfId="0" applyNumberFormat="1" applyFont="1" applyFill="1" applyBorder="1"/>
    <x:xf numFmtId="0" fontId="11" fillId="22" borderId="0" xfId="0" applyNumberFormat="1" applyFont="1" applyFill="1" applyBorder="1" applyAlignment="1">
      <x:alignment horizontal="left"/>
    </x:xf>
    <x:xf numFmtId="0" fontId="11" fillId="22" borderId="0" xfId="0" applyNumberFormat="1" applyFont="1" applyFill="1" applyBorder="1" applyAlignment="1">
      <x:alignment horizontal="left" vertical="center"/>
    </x:xf>
    <x:xf numFmtId="0" fontId="16" fillId="21" borderId="0" xfId="0" applyNumberFormat="1" applyFont="1" applyFill="1" applyBorder="1"/>
    <x:xf numFmtId="0" fontId="16" fillId="21" borderId="0" xfId="0" applyNumberFormat="1" applyFont="1" applyFill="1" applyBorder="1" applyAlignment="1">
      <x:alignment wrapText="1"/>
    </x:xf>
    <x:xf numFmtId="0" fontId="16" fillId="21" borderId="0" xfId="0" applyNumberFormat="1" applyFont="1" applyFill="1" applyBorder="1" applyAlignment="1">
      <x:alignment horizontal="left" wrapText="1"/>
    </x:xf>
    <x:xf numFmtId="0" fontId="16" fillId="21" borderId="0" xfId="0" applyNumberFormat="1" applyFont="1" applyFill="1" applyBorder="1" applyAlignment="1">
      <x:alignment horizontal="left" vertical="center" wrapText="1"/>
    </x:xf>
    <x:xf numFmtId="0" fontId="11" fillId="22" borderId="0" xfId="0" applyNumberFormat="1" applyFont="1" applyFill="1" applyBorder="1" applyAlignment="1">
      <x:alignment horizontal="center" vertical="center"/>
    </x:xf>
    <x:xf numFmtId="0" fontId="12" fillId="21" borderId="0" xfId="0" applyNumberFormat="1" applyFont="1" applyFill="1" applyBorder="1" applyAlignment="1">
      <x:alignment horizontal="left" vertical="center"/>
    </x:xf>
    <x:xf numFmtId="0" fontId="16" fillId="21" borderId="0" xfId="0" applyNumberFormat="1" applyFont="1" applyFill="1" applyBorder="1" applyAlignment="1">
      <x:alignment horizontal="left" vertical="center"/>
    </x:xf>
    <x:xf numFmtId="0" fontId="16" fillId="21" borderId="0" xfId="0" applyNumberFormat="1" applyFont="1" applyFill="1" applyBorder="1" applyAlignment="1">
      <x:alignment vertical="center" wrapText="1"/>
    </x:xf>
    <x:xf numFmtId="0" fontId="11" fillId="22" borderId="0" xfId="0" applyNumberFormat="1" applyFont="1" applyFill="1" applyBorder="1" applyAlignment="1">
      <x:alignment horizontal="left" vertical="center" wrapText="1"/>
    </x:xf>
    <x:xf numFmtId="0" fontId="0" fillId="30" borderId="0" xfId="0" applyNumberFormat="1" applyFont="1" applyFill="1" applyBorder="1"/>
    <x:xf numFmtId="0" fontId="11" fillId="30" borderId="0" xfId="0" applyNumberFormat="1" applyFont="1" applyFill="1" applyBorder="1"/>
    <x:xf numFmtId="0" fontId="0" fillId="31" borderId="0" xfId="0" applyNumberFormat="1" applyFont="1" applyFill="1" applyBorder="1"/>
    <x:xf numFmtId="0" fontId="21" fillId="31" borderId="0" xfId="0" applyNumberFormat="1" applyFont="1" applyFill="1" applyBorder="1"/>
    <x:xf numFmtId="0" fontId="22" fillId="0" borderId="0" xfId="0" applyNumberFormat="1" applyFont="1" applyFill="1" applyBorder="1"/>
    <x:xf numFmtId="201" fontId="0" fillId="32" borderId="0" xfId="0" applyNumberFormat="1" applyFont="1" applyFill="1" applyBorder="1"/>
    <x:xf numFmtId="201" fontId="23" fillId="32" borderId="0" xfId="0" applyNumberFormat="1" applyFont="1" applyFill="1" applyBorder="1"/>
    <x:xf numFmtId="207" fontId="23" fillId="32" borderId="0" xfId="0" applyNumberFormat="1" applyFont="1" applyFill="1" applyBorder="1"/>
    <x:xf numFmtId="201" fontId="0" fillId="33" borderId="0" xfId="0" applyNumberFormat="1" applyFont="1" applyFill="1" applyBorder="1"/>
    <x:xf numFmtId="201" fontId="24" fillId="33" borderId="0" xfId="0" applyNumberFormat="1" applyFont="1" applyFill="1" applyBorder="1"/>
    <x:xf numFmtId="207" fontId="24" fillId="33" borderId="0" xfId="0" applyNumberFormat="1" applyFont="1" applyFill="1" applyBorder="1"/>
    <x:xf numFmtId="0" fontId="25" fillId="31" borderId="0" xfId="0" applyNumberFormat="1" applyFont="1" applyFill="1" applyBorder="1"/>
    <x:xf numFmtId="0" fontId="0" fillId="34" borderId="0" xfId="0" applyNumberFormat="1" applyFont="1" applyFill="1" applyBorder="1" applyAlignment="1">
      <x:alignment wrapText="1"/>
    </x:xf>
    <x:xf numFmtId="0" fontId="10" fillId="30" borderId="0" xfId="0" applyNumberFormat="1" applyFont="1" applyFill="1" applyBorder="1"/>
    <x:xf numFmtId="0" fontId="0" fillId="32" borderId="0" xfId="0" applyNumberFormat="1" applyFont="1" applyFill="1" applyBorder="1"/>
    <x:xf numFmtId="0" fontId="23" fillId="32" borderId="0" xfId="0" applyNumberFormat="1" applyFont="1" applyFill="1" applyBorder="1"/>
    <x:xf numFmtId="205" fontId="0" fillId="0" borderId="0" xfId="0" applyNumberFormat="1" applyFont="1" applyFill="1" applyBorder="1"/>
    <x:xf numFmtId="0" fontId="22" fillId="34" borderId="0" xfId="0" applyNumberFormat="1" applyFont="1" applyFill="1" applyBorder="1" applyAlignment="1">
      <x:alignment wrapText="1"/>
    </x:xf>
    <x:xf numFmtId="0" fontId="6" fillId="35" borderId="0" xfId="0" applyNumberFormat="1" applyFont="1" applyFill="1" applyBorder="1" applyAlignment="1">
      <x:alignment horizontal="center" vertical="center" wrapText="1"/>
    </x:xf>
    <x:xf numFmtId="0" fontId="0" fillId="35" borderId="0" xfId="0" applyNumberFormat="1" applyFont="1" applyFill="1" applyBorder="1" applyAlignment="1">
      <x:alignment wrapText="1"/>
    </x:xf>
    <x:xf numFmtId="0" fontId="10" fillId="35" borderId="0" xfId="0" applyNumberFormat="1" applyFont="1" applyFill="1" applyBorder="1" applyAlignment="1">
      <x:alignment wrapText="1"/>
    </x:xf>
    <x:xf numFmtId="0" fontId="10" fillId="35" borderId="0" xfId="0" applyNumberFormat="1" applyFont="1" applyFill="1" applyBorder="1" applyAlignment="1">
      <x:alignment vertical="center" wrapText="1"/>
    </x:xf>
    <x:xf numFmtId="0" fontId="10" fillId="35" xfId="0" applyNumberFormat="1" applyFont="1" applyFill="1" applyBorder="0" applyAlignment="1">
      <x:alignment horizontal="center" vertical="center" wrapText="1"/>
    </x:xf>
    <x:xf numFmtId="0" fontId="0" fillId="35" borderId="0" xfId="0" applyNumberFormat="1" applyFont="1" applyFill="1" applyBorder="1"/>
    <x:xf numFmtId="0" fontId="10" fillId="35" borderId="0" xfId="0" applyNumberFormat="1" applyFont="1" applyFill="1" applyBorder="1"/>
    <x:xf numFmtId="0" fontId="23" fillId="35" borderId="0" xfId="0" applyNumberFormat="1" applyFont="1" applyFill="1" applyBorder="1"/>
    <x:xf numFmtId="0" fontId="10" fillId="35" xfId="0" applyNumberFormat="1" applyFont="1" applyFill="1" applyBorder="0" applyAlignment="1">
      <x:alignment horizontal="center" vertical="top" wrapText="1"/>
    </x:xf>
    <x:xf numFmtId="0" fontId="1" fillId="36" borderId="0" xfId="0" applyNumberFormat="1" applyFont="1" applyFill="1" applyBorder="1" applyAlignment="1">
      <x:alignment horizontal="center" vertical="center"/>
    </x:xf>
    <x:xf numFmtId="0" fontId="0" fillId="36" borderId="0" xfId="0" applyNumberFormat="1" applyFont="1" applyFill="1" applyBorder="1"/>
    <x:xf numFmtId="0" fontId="11" fillId="36" borderId="0" xfId="0" applyNumberFormat="1" applyFont="1" applyFill="1" applyBorder="1" applyAlignment="1">
      <x:alignment horizontal="center" vertical="center"/>
    </x:xf>
    <x:xf numFmtId="0" fontId="11" fillId="36" borderId="0" xfId="0" applyNumberFormat="1" applyFont="1" applyFill="1" applyBorder="1"/>
    <x:xf numFmtId="0" fontId="11" fillId="36" borderId="0" xfId="0" applyNumberFormat="1" applyFont="1" applyFill="1" applyBorder="1" applyAlignment="1">
      <x:alignment vertical="center"/>
    </x:xf>
    <x:xf numFmtId="0" fontId="11" fillId="36" borderId="0" xfId="0" applyNumberFormat="1" applyFont="1" applyFill="1" applyBorder="1" applyAlignment="1">
      <x:alignment horizontal="left" vertical="center"/>
    </x:xf>
    <x:xf numFmtId="0" fontId="0" fillId="37" borderId="0" xfId="0" applyNumberFormat="1" applyFont="1" applyFill="1" applyBorder="1"/>
    <x:xf numFmtId="0" fontId="10" fillId="37" borderId="0" xfId="0" applyNumberFormat="1" applyFont="1" applyFill="1" applyBorder="1"/>
    <x:xf numFmtId="0" fontId="0" fillId="38" borderId="0" xfId="0" applyNumberFormat="1" applyFont="1" applyFill="1" applyBorder="1"/>
    <x:xf numFmtId="0" fontId="26" fillId="38" borderId="0" xfId="0" applyNumberFormat="1" applyFont="1" applyFill="1" applyBorder="1"/>
    <x:xf numFmtId="0" fontId="26" fillId="39" borderId="0" xfId="0" applyNumberFormat="1" applyFont="1" applyFill="1" applyBorder="1"/>
    <x:xf numFmtId="0" fontId="27" fillId="39" borderId="0" xfId="0" applyNumberFormat="1" applyFont="1" applyFill="1" applyBorder="1"/>
    <x:xf numFmtId="200" fontId="27" fillId="39" borderId="0" xfId="0" applyNumberFormat="1" applyFont="1" applyFill="1" applyBorder="1"/>
    <x:xf numFmtId="0" fontId="28" fillId="38" borderId="0" xfId="0" applyNumberFormat="1" applyFont="1" applyFill="1" applyBorder="1"/>
    <x:xf numFmtId="205" fontId="28" fillId="38" borderId="0" xfId="0" applyNumberFormat="1" applyFont="1" applyFill="1" applyBorder="1"/>
    <x:xf numFmtId="205" fontId="22" fillId="0" borderId="0" xfId="0" applyNumberFormat="1" applyFont="1" applyFill="1" applyBorder="1"/>
    <x:xf numFmtId="205" fontId="0" fillId="0" borderId="0" xfId="0" applyNumberFormat="1" applyFont="1" applyFill="1" applyBorder="1" applyAlignment="1">
      <x:alignment wrapText="1"/>
    </x:xf>
    <x:xf numFmtId="205" fontId="3" fillId="0" borderId="0" xfId="0" applyNumberFormat="1" applyFont="1" applyFill="1" applyBorder="1" applyAlignment="1">
      <x:alignment vertical="center"/>
    </x:xf>
    <x:xf numFmtId="205" fontId="8" fillId="8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e35bed9db14aa0" /><Relationship Type="http://schemas.openxmlformats.org/officeDocument/2006/relationships/theme" Target="/xl/theme/theme1.xml" Id="Rdf1dc1d85e7f4f86" /><Relationship Type="http://schemas.openxmlformats.org/officeDocument/2006/relationships/sharedStrings" Target="/xl/sharedStrings.xml" Id="R67777483eaf3430b" /><Relationship Type="http://schemas.openxmlformats.org/officeDocument/2006/relationships/worksheet" Target="/xl/worksheets/sheet1.xml" Id="Rf7033cf6200c41ac" /><Relationship Type="http://schemas.openxmlformats.org/officeDocument/2006/relationships/worksheet" Target="/xl/worksheets/sheet2.xml" Id="Rf23dc6b6793341fe" /><Relationship Type="http://schemas.openxmlformats.org/officeDocument/2006/relationships/worksheet" Target="/xl/worksheets/sheet3.xml" Id="R5becdc4f4a3748fd" /><Relationship Type="http://schemas.openxmlformats.org/officeDocument/2006/relationships/worksheet" Target="/xl/worksheets/sheet4.xml" Id="Rb42a47e7720546a0" /><Relationship Type="http://schemas.openxmlformats.org/officeDocument/2006/relationships/worksheet" Target="/xl/worksheets/sheet5.xml" Id="R07eb66efad014705" /><Relationship Type="http://schemas.openxmlformats.org/officeDocument/2006/relationships/worksheet" Target="/xl/worksheets/sheet6.xml" Id="R9644a9d2bbba4bdf" /><Relationship Type="http://schemas.openxmlformats.org/officeDocument/2006/relationships/worksheet" Target="/xl/worksheets/sheet7.xml" Id="Rc29563c048ff45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5b6a4b5da5646a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ST3215 • velocità stimata in funzione del carico (3S 11,1 V)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RPM stimati @11,1 V</c:v>
          </c:tx>
          <c:marker>
            <c:symbol val="none"/>
          </c:marker>
          <c:cat>
            <c:strRef>
              <c:f>'ST3215_3S_Reference'!$E$4:$E$34</c:f>
              <c:strCache>
                <c:ptCount val="0"/>
              </c:strCache>
            </c:strRef>
          </c:cat>
          <c:val>
            <c:numRef>
              <c:f>'ST3215_3S_Reference'!$F$4:$F$34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21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b6a4b5da5646a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JointParametersTable" displayName="JointParametersTable" ref="A7:X23" headerRowCount="1">
  <x:tableColumns count="24">
    <x:tableColumn id="1" name="Leg"/>
    <x:tableColumn id="2" name="Joint"/>
    <x:tableColumn id="3" name="Parent link"/>
    <x:tableColumn id="4" name="Child link"/>
    <x:tableColumn id="5" name="Type"/>
    <x:tableColumn id="6" name="Motor ID"/>
    <x:tableColumn id="7" name="Dir"/>
    <x:tableColumn id="8" name="Axis X"/>
    <x:tableColumn id="9" name="Axis Y"/>
    <x:tableColumn id="10" name="Axis Z"/>
    <x:tableColumn id="11" name="X parent&#10;[mm]"/>
    <x:tableColumn id="12" name="Y parent&#10;[mm]"/>
    <x:tableColumn id="13" name="Z parent&#10;[mm]"/>
    <x:tableColumn id="14" name="θ min&#10;[deg]"/>
    <x:tableColumn id="15" name="θ max&#10;[deg]"/>
    <x:tableColumn id="16" name="X parent&#10;[m]"/>
    <x:tableColumn id="17" name="Y parent&#10;[m]"/>
    <x:tableColumn id="18" name="Z parent&#10;[m]"/>
    <x:tableColumn id="19" name="θ min&#10;[rad]"/>
    <x:tableColumn id="20" name="θ max&#10;[rad]"/>
    <x:tableColumn id="21" name="Speed&#10;[rpm]"/>
    <x:tableColumn id="22" name="Speed&#10;[rad/s]"/>
    <x:tableColumn id="23" name="Torque&#10;[kg·cm]"/>
    <x:tableColumn id="24" name="Effort&#10;[N·m]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632fc8b19f47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c544553ce3954473" /></Relationships>
</file>

<file path=xl/worksheets/sheet1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24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</x:cols>
  <x:sheetData>
    <x:row r="1" ht="29" customHeight="1">
      <x:c r="A1" s="434" t="str">
        <x:v>MATDOG — matt_robodog_rev00 | Tabella cinematica canonica</x:v>
      </x:c>
      <x:c r="B1" s="434"/>
      <x:c r="C1" s="434"/>
      <x:c r="D1" s="434"/>
      <x:c r="E1" s="434"/>
      <x:c r="F1" s="434"/>
      <x:c r="G1" s="434"/>
      <x:c r="H1" s="434"/>
      <x:c r="I1" s="434"/>
      <x:c r="J1" s="434"/>
      <x:c r="K1" s="434"/>
      <x:c r="L1" s="434"/>
      <x:c r="M1" s="434"/>
      <x:c r="N1" s="434"/>
      <x:c r="O1" s="434"/>
      <x:c r="P1" s="434"/>
      <x:c r="Q1" s="434"/>
      <x:c r="R1" s="434"/>
      <x:c r="S1" s="434"/>
      <x:c r="T1" s="434"/>
      <x:c r="U1" s="434"/>
      <x:c r="V1" s="434"/>
      <x:c r="W1" s="434"/>
      <x:c r="X1" s="434"/>
      <x:c r="Y1" s="436"/>
    </x:row>
    <x:row r="2" ht="20" customHeight="1">
      <x:c r="A2" s="13" t="str">
        <x:v>Baseline URDF consolidata · origini joint nel frame del parent link · mesh auditata · limiti in gradi e radianti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</x:row>
    <x:row r="4" ht="20" customHeight="1">
      <x:c r="A4" s="26" t="str">
        <x:v>Robot</x:v>
      </x:c>
      <x:c r="B4" s="21" t="str">
        <x:v>matt_robodog_rev00</x:v>
      </x:c>
      <x:c r="C4" s="26" t="str">
        <x:v>Revisione</x:v>
      </x:c>
      <x:c r="D4" s="21" t="str">
        <x:v>REV01-FIX — hip origin Z +2.2 mm; physical properties 2026-10-30</x:v>
      </x:c>
      <x:c r="E4" s="26" t="str">
        <x:v>Stato</x:v>
      </x:c>
      <x:c r="F4" s="29" t="str">
        <x:v>CANONICA — CLEAN AUDIT</x:v>
      </x:c>
      <x:c r="G4" s="26" t="str">
        <x:v>Total joints</x:v>
      </x:c>
      <x:c r="H4" s="21" t="n">
        <x:v>16</x:v>
      </x:c>
      <x:c r="I4" s="26" t="str">
        <x:v>Revolute</x:v>
      </x:c>
      <x:c r="J4" s="21" t="n">
        <x:v>12</x:v>
      </x:c>
      <x:c r="K4" s="26" t="str">
        <x:v>Fixed</x:v>
      </x:c>
      <x:c r="L4" s="21" t="n">
        <x:v>4</x:v>
      </x:c>
    </x:row>
    <x:row r="5">
      <x:c r="A5" s="409" t="str">
        <x:v>IMPORTANTE: 40 RPM = limite di riferimento vicino alla velocità A VUOTO a 11,1 V. 9,2 kg·cm = budget di coppia INDIPENDENTE, non contemporaneamente a 40 RPM. Non modificare automaticamente URDF/firmware (29 RPM correnti).</x:v>
      </x:c>
    </x:row>
    <x:row r="6">
      <x:c r="A6" s="409" t="str">
        <x:v>A τ=9,2 kg·cm la stima è circa 27,8 RPM a 11,1 V (non 40). Modifica l'input nel foglio ST3215_3S_Reference.</x:v>
      </x:c>
    </x:row>
    <x:row r="7" ht="42" customHeight="1">
      <x:c r="A7" s="423" t="str">
        <x:v>Leg</x:v>
      </x:c>
      <x:c r="B7" s="423" t="str">
        <x:v>Joint</x:v>
      </x:c>
      <x:c r="C7" s="423" t="str">
        <x:v>Parent link</x:v>
      </x:c>
      <x:c r="D7" s="423" t="str">
        <x:v>Child link</x:v>
      </x:c>
      <x:c r="E7" s="423" t="str">
        <x:v>Type</x:v>
      </x:c>
      <x:c r="F7" s="423" t="str">
        <x:v>Motor ID</x:v>
      </x:c>
      <x:c r="G7" s="423" t="str">
        <x:v>Dir</x:v>
      </x:c>
      <x:c r="H7" s="423" t="str">
        <x:v>Axis X</x:v>
      </x:c>
      <x:c r="I7" s="423" t="str">
        <x:v>Axis Y</x:v>
      </x:c>
      <x:c r="J7" s="423" t="str">
        <x:v>Axis Z</x:v>
      </x:c>
      <x:c r="K7" s="423" t="str">
        <x:v>X parent
[mm]</x:v>
      </x:c>
      <x:c r="L7" s="423" t="str">
        <x:v>Y parent
[mm]</x:v>
      </x:c>
      <x:c r="M7" s="423" t="str">
        <x:v>Z parent
[mm]</x:v>
      </x:c>
      <x:c r="N7" s="423" t="str">
        <x:v>θ min
[deg]</x:v>
      </x:c>
      <x:c r="O7" s="423" t="str">
        <x:v>θ max
[deg]</x:v>
      </x:c>
      <x:c r="P7" s="423" t="str">
        <x:v>X parent
[m]</x:v>
      </x:c>
      <x:c r="Q7" s="423" t="str">
        <x:v>Y parent
[m]</x:v>
      </x:c>
      <x:c r="R7" s="423" t="str">
        <x:v>Z parent
[m]</x:v>
      </x:c>
      <x:c r="S7" s="423" t="str">
        <x:v>θ min
[rad]</x:v>
      </x:c>
      <x:c r="T7" s="423" t="str">
        <x:v>θ max
[rad]</x:v>
      </x:c>
      <x:c r="U7" s="423" t="str">
        <x:v>Tetto a vuoto 3S
[ RPM ]</x:v>
      </x:c>
      <x:c r="V7" s="423" t="str">
        <x:v>Speed
[rad/s]</x:v>
      </x:c>
      <x:c r="W7" s="423" t="str">
        <x:v>Budget coppia 3S
[kg·cm]</x:v>
      </x:c>
      <x:c r="X7" s="423" t="str">
        <x:v>Budget coppia 3S
[N·m]</x:v>
      </x:c>
      <x:c r="Y7" s="426" t="str">
        <x:v>RPM stimati @ coppia input B21</x:v>
      </x:c>
    </x:row>
    <x:row r="8" ht="19" customHeight="1">
      <x:c r="A8" s="48" t="str">
        <x:v>LF</x:v>
      </x:c>
      <x:c r="B8" s="43" t="str">
        <x:v>lf_hip_joint</x:v>
      </x:c>
      <x:c r="C8" s="43" t="str">
        <x:v>base_link</x:v>
      </x:c>
      <x:c r="D8" s="43" t="str">
        <x:v>lf_hip_link</x:v>
      </x:c>
      <x:c r="E8" s="43" t="str">
        <x:v>Revolute</x:v>
      </x:c>
      <x:c r="F8" s="43" t="n">
        <x:v>13</x:v>
      </x:c>
      <x:c r="G8" s="43" t="n">
        <x:v>1</x:v>
      </x:c>
      <x:c r="H8" s="43" t="n">
        <x:v>1</x:v>
      </x:c>
      <x:c r="I8" s="43" t="n">
        <x:v>0</x:v>
      </x:c>
      <x:c r="J8" s="43" t="n">
        <x:v>0</x:v>
      </x:c>
      <x:c r="K8" s="64" t="n">
        <x:v>112.5</x:v>
      </x:c>
      <x:c r="L8" s="64" t="n">
        <x:v>47.5</x:v>
      </x:c>
      <x:c r="M8" s="64">
        <x:v>48.7</x:v>
      </x:c>
      <x:c r="N8" s="64" t="n">
        <x:v>-45</x:v>
      </x:c>
      <x:c r="O8" s="64" t="n">
        <x:v>45</x:v>
      </x:c>
      <x:c r="P8" s="70" t="n">
        <x:f>IF($E8="Fixed","",$K8/1000)</x:f>
        <x:v>0.1125</x:v>
      </x:c>
      <x:c r="Q8" s="70" t="n">
        <x:f>IF($E8="Fixed","",$L8/1000)</x:f>
        <x:v>0.0475</x:v>
      </x:c>
      <x:c r="R8" s="70" t="n">
        <x:f>IF($E8="Fixed","",$M8/1000)</x:f>
        <x:v>0.0487</x:v>
      </x:c>
      <x:c r="S8" s="269" t="n">
        <x:f>IF($E8="Fixed","",PI()/180*$N8)</x:f>
        <x:v>-0.7853981633974483</x:v>
      </x:c>
      <x:c r="T8" s="269" t="n">
        <x:f>IF($E8="Fixed","",PI()/180*$O8)</x:f>
        <x:v>0.7853981633974483</x:v>
      </x:c>
      <x:c r="U8" s="449" t="n">
        <x:f>ST3215_3S_Reference!$B$7</x:f>
        <x:v>40</x:v>
      </x:c>
      <x:c r="V8" s="449" t="n">
        <x:f>IF($E8="Fixed","",$U8*2*PI()/60)</x:f>
        <x:v>4.1887902047863905</x:v>
      </x:c>
      <x:c r="W8" s="449" t="n">
        <x:f>ST3215_3S_Reference!$B$12</x:f>
        <x:v>9.2</x:v>
      </x:c>
      <x:c r="X8" s="76" t="n">
        <x:f>IF($E8="Fixed","",$W8*0.0980665)</x:f>
        <x:v>0.9022117999999999</x:v>
      </x:c>
      <x:c r="Y8" s="421" t="n">
        <x:f>ST3215_3S_Reference!$B$22</x:f>
        <x:v>27.825000000000003</x:v>
      </x:c>
    </x:row>
    <x:row r="9" ht="19" customHeight="1">
      <x:c r="A9" s="48" t="str">
        <x:v>LF</x:v>
      </x:c>
      <x:c r="B9" s="43" t="str">
        <x:v>lf_upper_leg_joint</x:v>
      </x:c>
      <x:c r="C9" s="43" t="str">
        <x:v>lf_hip_link</x:v>
      </x:c>
      <x:c r="D9" s="43" t="str">
        <x:v>lf_upper_leg_link</x:v>
      </x:c>
      <x:c r="E9" s="43" t="str">
        <x:v>Revolute</x:v>
      </x:c>
      <x:c r="F9" s="43" t="n">
        <x:v>12</x:v>
      </x:c>
      <x:c r="G9" s="43" t="n">
        <x:v>1</x:v>
      </x:c>
      <x:c r="H9" s="43" t="n">
        <x:v>0</x:v>
      </x:c>
      <x:c r="I9" s="43" t="n">
        <x:v>1</x:v>
      </x:c>
      <x:c r="J9" s="43" t="n">
        <x:v>0</x:v>
      </x:c>
      <x:c r="K9" s="64" t="n">
        <x:v>0</x:v>
      </x:c>
      <x:c r="L9" s="64" t="n">
        <x:v>48</x:v>
      </x:c>
      <x:c r="M9" s="64" t="n">
        <x:v>0</x:v>
      </x:c>
      <x:c r="N9" s="68" t="n">
        <x:v>-52.5</x:v>
      </x:c>
      <x:c r="O9" s="68" t="n">
        <x:v>122.5</x:v>
      </x:c>
      <x:c r="P9" s="71" t="n">
        <x:f>IF($E9="Fixed","",$K9/1000)</x:f>
        <x:v>0</x:v>
      </x:c>
      <x:c r="Q9" s="71" t="n">
        <x:f>IF($E9="Fixed","",$L9/1000)</x:f>
        <x:v>0.048</x:v>
      </x:c>
      <x:c r="R9" s="71" t="n">
        <x:f>IF($E9="Fixed","",$M9/1000)</x:f>
        <x:v>0</x:v>
      </x:c>
      <x:c r="S9" s="270" t="n">
        <x:f>IF($E9="Fixed","",PI()/180*$N9)</x:f>
        <x:v>-0.9162978572970231</x:v>
      </x:c>
      <x:c r="T9" s="270" t="n">
        <x:f>IF($E9="Fixed","",PI()/180*$O9)</x:f>
        <x:v>2.138028333693054</x:v>
      </x:c>
      <x:c r="U9" s="449" t="n">
        <x:f>ST3215_3S_Reference!$B$7</x:f>
        <x:v>40</x:v>
      </x:c>
      <x:c r="V9" s="449" t="n">
        <x:f>IF($E9="Fixed","",$U9*2*PI()/60)</x:f>
        <x:v>4.1887902047863905</x:v>
      </x:c>
      <x:c r="W9" s="449" t="n">
        <x:f>ST3215_3S_Reference!$B$12</x:f>
        <x:v>9.2</x:v>
      </x:c>
      <x:c r="X9" s="76" t="n">
        <x:f>IF($E9="Fixed","",$W9*0.0980665)</x:f>
        <x:v>0.9022117999999999</x:v>
      </x:c>
      <x:c r="Y9" s="421" t="n">
        <x:f>ST3215_3S_Reference!$B$22</x:f>
        <x:v>27.825000000000003</x:v>
      </x:c>
    </x:row>
    <x:row r="10" ht="19" customHeight="1">
      <x:c r="A10" s="48" t="str">
        <x:v>LF</x:v>
      </x:c>
      <x:c r="B10" s="43" t="str">
        <x:v>lf_lower_leg_joint</x:v>
      </x:c>
      <x:c r="C10" s="43" t="str">
        <x:v>lf_upper_leg_link</x:v>
      </x:c>
      <x:c r="D10" s="43" t="str">
        <x:v>lf_lower_leg_link</x:v>
      </x:c>
      <x:c r="E10" s="43" t="str">
        <x:v>Revolute</x:v>
      </x:c>
      <x:c r="F10" s="43" t="n">
        <x:v>11</x:v>
      </x:c>
      <x:c r="G10" s="43" t="n">
        <x:v>1</x:v>
      </x:c>
      <x:c r="H10" s="43" t="n">
        <x:v>0</x:v>
      </x:c>
      <x:c r="I10" s="43" t="n">
        <x:v>1</x:v>
      </x:c>
      <x:c r="J10" s="43" t="n">
        <x:v>0</x:v>
      </x:c>
      <x:c r="K10" s="64" t="n">
        <x:v>0</x:v>
      </x:c>
      <x:c r="L10" s="64" t="n">
        <x:v>0</x:v>
      </x:c>
      <x:c r="M10" s="64" t="n">
        <x:v>-90</x:v>
      </x:c>
      <x:c r="N10" s="68" t="n">
        <x:v>-92</x:v>
      </x:c>
      <x:c r="O10" s="68" t="n">
        <x:v>37.5</x:v>
      </x:c>
      <x:c r="P10" s="71" t="n">
        <x:f>IF($E10="Fixed","",$K10/1000)</x:f>
        <x:v>0</x:v>
      </x:c>
      <x:c r="Q10" s="71" t="n">
        <x:f>IF($E10="Fixed","",$L10/1000)</x:f>
        <x:v>0</x:v>
      </x:c>
      <x:c r="R10" s="71" t="n">
        <x:f>IF($E10="Fixed","",$M10/1000)</x:f>
        <x:v>-0.09</x:v>
      </x:c>
      <x:c r="S10" s="270" t="n">
        <x:v>-1.6057029118347832</x:v>
      </x:c>
      <x:c r="T10" s="270" t="n">
        <x:f>IF($E10="Fixed","",PI()/180*$O10)</x:f>
        <x:v>0.6544984694978736</x:v>
      </x:c>
      <x:c r="U10" s="449" t="n">
        <x:f>ST3215_3S_Reference!$B$7</x:f>
        <x:v>40</x:v>
      </x:c>
      <x:c r="V10" s="449" t="n">
        <x:f>IF($E10="Fixed","",$U10*2*PI()/60)</x:f>
        <x:v>4.1887902047863905</x:v>
      </x:c>
      <x:c r="W10" s="449" t="n">
        <x:f>ST3215_3S_Reference!$B$12</x:f>
        <x:v>9.2</x:v>
      </x:c>
      <x:c r="X10" s="76" t="n">
        <x:f>IF($E10="Fixed","",$W10*0.0980665)</x:f>
        <x:v>0.9022117999999999</x:v>
      </x:c>
      <x:c r="Y10" s="421" t="n">
        <x:f>ST3215_3S_Reference!$B$22</x:f>
        <x:v>27.825000000000003</x:v>
      </x:c>
    </x:row>
    <x:row r="11" ht="19" customHeight="1">
      <x:c r="A11" s="54" t="str">
        <x:v>LF</x:v>
      </x:c>
      <x:c r="B11" s="55" t="str">
        <x:v>lf_foot_joint</x:v>
      </x:c>
      <x:c r="C11" s="55" t="str">
        <x:v>lf_lower_leg_link</x:v>
      </x:c>
      <x:c r="D11" s="55" t="str">
        <x:v>lf_foot_link</x:v>
      </x:c>
      <x:c r="E11" s="55" t="str">
        <x:v>Fixed</x:v>
      </x:c>
      <x:c r="F11" s="55"/>
      <x:c r="G11" s="55"/>
      <x:c r="H11" s="55"/>
      <x:c r="I11" s="55"/>
      <x:c r="J11" s="55"/>
      <x:c r="K11" s="65" t="n">
        <x:v>107</x:v>
      </x:c>
      <x:c r="L11" s="65" t="n">
        <x:v>-1.5</x:v>
      </x:c>
      <x:c r="M11" s="65" t="n">
        <x:v>-49.9</x:v>
      </x:c>
      <x:c r="N11" s="65"/>
      <x:c r="O11" s="65"/>
      <x:c r="P11" s="72" t="str">
        <x:f>IF($E11="Fixed","",$K11/1000)</x:f>
      </x:c>
      <x:c r="Q11" s="72" t="str">
        <x:f>IF($E11="Fixed","",$L11/1000)</x:f>
      </x:c>
      <x:c r="R11" s="72" t="str">
        <x:f>IF($E11="Fixed","",$M11/1000)</x:f>
      </x:c>
      <x:c r="S11" s="271" t="str">
        <x:f>IF($E11="Fixed","",PI()/180*$N11)</x:f>
      </x:c>
      <x:c r="T11" s="271" t="str">
        <x:f>IF($E11="Fixed","",PI()/180*$O11)</x:f>
      </x:c>
      <x:c r="U11" s="450"/>
      <x:c r="V11" s="450" t="str">
        <x:f>IF($E11="Fixed","",$U11*2*PI()/60)</x:f>
      </x:c>
      <x:c r="W11" s="450"/>
      <x:c r="X11" s="78" t="str">
        <x:f>IF($E11="Fixed","",$W11*0.0980665)</x:f>
      </x:c>
      <x:c r="Y11" s="421"/>
    </x:row>
    <x:row r="12" ht="19" customHeight="1">
      <x:c r="A12" s="48" t="str">
        <x:v>RF</x:v>
      </x:c>
      <x:c r="B12" s="43" t="str">
        <x:v>rf_hip_joint</x:v>
      </x:c>
      <x:c r="C12" s="43" t="str">
        <x:v>base_link</x:v>
      </x:c>
      <x:c r="D12" s="43" t="str">
        <x:v>rf_hip_link</x:v>
      </x:c>
      <x:c r="E12" s="43" t="str">
        <x:v>Revolute</x:v>
      </x:c>
      <x:c r="F12" s="43" t="n">
        <x:v>23</x:v>
      </x:c>
      <x:c r="G12" s="43" t="n">
        <x:v>1</x:v>
      </x:c>
      <x:c r="H12" s="43" t="n">
        <x:v>1</x:v>
      </x:c>
      <x:c r="I12" s="43" t="n">
        <x:v>0</x:v>
      </x:c>
      <x:c r="J12" s="43" t="n">
        <x:v>0</x:v>
      </x:c>
      <x:c r="K12" s="64" t="n">
        <x:v>112.5</x:v>
      </x:c>
      <x:c r="L12" s="64" t="n">
        <x:v>-47.5</x:v>
      </x:c>
      <x:c r="M12" s="64">
        <x:v>48.7</x:v>
      </x:c>
      <x:c r="N12" s="64" t="n">
        <x:v>-45</x:v>
      </x:c>
      <x:c r="O12" s="64" t="n">
        <x:v>45</x:v>
      </x:c>
      <x:c r="P12" s="70" t="n">
        <x:f>IF($E12="Fixed","",$K12/1000)</x:f>
        <x:v>0.1125</x:v>
      </x:c>
      <x:c r="Q12" s="70" t="n">
        <x:f>IF($E12="Fixed","",$L12/1000)</x:f>
        <x:v>-0.0475</x:v>
      </x:c>
      <x:c r="R12" s="70" t="n">
        <x:f>IF($E12="Fixed","",$M12/1000)</x:f>
        <x:v>0.0487</x:v>
      </x:c>
      <x:c r="S12" s="269" t="n">
        <x:f>IF($E12="Fixed","",PI()/180*$N12)</x:f>
        <x:v>-0.7853981633974483</x:v>
      </x:c>
      <x:c r="T12" s="269" t="n">
        <x:f>IF($E12="Fixed","",PI()/180*$O12)</x:f>
        <x:v>0.7853981633974483</x:v>
      </x:c>
      <x:c r="U12" s="449" t="n">
        <x:f>ST3215_3S_Reference!$B$7</x:f>
        <x:v>40</x:v>
      </x:c>
      <x:c r="V12" s="449" t="n">
        <x:f>IF($E12="Fixed","",$U12*2*PI()/60)</x:f>
        <x:v>4.1887902047863905</x:v>
      </x:c>
      <x:c r="W12" s="449" t="n">
        <x:f>ST3215_3S_Reference!$B$12</x:f>
        <x:v>9.2</x:v>
      </x:c>
      <x:c r="X12" s="76" t="n">
        <x:f>IF($E12="Fixed","",$W12*0.0980665)</x:f>
        <x:v>0.9022117999999999</x:v>
      </x:c>
      <x:c r="Y12" s="421" t="n">
        <x:f>ST3215_3S_Reference!$B$22</x:f>
        <x:v>27.825000000000003</x:v>
      </x:c>
    </x:row>
    <x:row r="13" ht="19" customHeight="1">
      <x:c r="A13" s="48" t="str">
        <x:v>RF</x:v>
      </x:c>
      <x:c r="B13" s="43" t="str">
        <x:v>rf_upper_leg_joint</x:v>
      </x:c>
      <x:c r="C13" s="43" t="str">
        <x:v>rf_hip_link</x:v>
      </x:c>
      <x:c r="D13" s="43" t="str">
        <x:v>rf_upper_leg_link</x:v>
      </x:c>
      <x:c r="E13" s="43" t="str">
        <x:v>Revolute</x:v>
      </x:c>
      <x:c r="F13" s="43" t="n">
        <x:v>22</x:v>
      </x:c>
      <x:c r="G13" s="43" t="n">
        <x:v>-1</x:v>
      </x:c>
      <x:c r="H13" s="43" t="n">
        <x:v>0</x:v>
      </x:c>
      <x:c r="I13" s="43" t="n">
        <x:v>1</x:v>
      </x:c>
      <x:c r="J13" s="43" t="n">
        <x:v>0</x:v>
      </x:c>
      <x:c r="K13" s="64" t="n">
        <x:v>0</x:v>
      </x:c>
      <x:c r="L13" s="64" t="n">
        <x:v>-48</x:v>
      </x:c>
      <x:c r="M13" s="64" t="n">
        <x:v>0</x:v>
      </x:c>
      <x:c r="N13" s="68" t="n">
        <x:v>-52.5</x:v>
      </x:c>
      <x:c r="O13" s="68" t="n">
        <x:v>122.5</x:v>
      </x:c>
      <x:c r="P13" s="71" t="n">
        <x:f>IF($E13="Fixed","",$K13/1000)</x:f>
        <x:v>0</x:v>
      </x:c>
      <x:c r="Q13" s="71" t="n">
        <x:f>IF($E13="Fixed","",$L13/1000)</x:f>
        <x:v>-0.048</x:v>
      </x:c>
      <x:c r="R13" s="71" t="n">
        <x:f>IF($E13="Fixed","",$M13/1000)</x:f>
        <x:v>0</x:v>
      </x:c>
      <x:c r="S13" s="270" t="n">
        <x:f>IF($E13="Fixed","",PI()/180*$N13)</x:f>
        <x:v>-0.9162978572970231</x:v>
      </x:c>
      <x:c r="T13" s="270" t="n">
        <x:f>IF($E13="Fixed","",PI()/180*$O13)</x:f>
        <x:v>2.138028333693054</x:v>
      </x:c>
      <x:c r="U13" s="449" t="n">
        <x:f>ST3215_3S_Reference!$B$7</x:f>
        <x:v>40</x:v>
      </x:c>
      <x:c r="V13" s="449" t="n">
        <x:f>IF($E13="Fixed","",$U13*2*PI()/60)</x:f>
        <x:v>4.1887902047863905</x:v>
      </x:c>
      <x:c r="W13" s="449" t="n">
        <x:f>ST3215_3S_Reference!$B$12</x:f>
        <x:v>9.2</x:v>
      </x:c>
      <x:c r="X13" s="76" t="n">
        <x:f>IF($E13="Fixed","",$W13*0.0980665)</x:f>
        <x:v>0.9022117999999999</x:v>
      </x:c>
      <x:c r="Y13" s="421" t="n">
        <x:f>ST3215_3S_Reference!$B$22</x:f>
        <x:v>27.825000000000003</x:v>
      </x:c>
    </x:row>
    <x:row r="14" ht="19" customHeight="1">
      <x:c r="A14" s="48" t="str">
        <x:v>RF</x:v>
      </x:c>
      <x:c r="B14" s="43" t="str">
        <x:v>rf_lower_leg_joint</x:v>
      </x:c>
      <x:c r="C14" s="43" t="str">
        <x:v>rf_upper_leg_link</x:v>
      </x:c>
      <x:c r="D14" s="43" t="str">
        <x:v>rf_lower_leg_link</x:v>
      </x:c>
      <x:c r="E14" s="43" t="str">
        <x:v>Revolute</x:v>
      </x:c>
      <x:c r="F14" s="43" t="n">
        <x:v>21</x:v>
      </x:c>
      <x:c r="G14" s="43" t="n">
        <x:v>-1</x:v>
      </x:c>
      <x:c r="H14" s="43" t="n">
        <x:v>0</x:v>
      </x:c>
      <x:c r="I14" s="43" t="n">
        <x:v>1</x:v>
      </x:c>
      <x:c r="J14" s="43" t="n">
        <x:v>0</x:v>
      </x:c>
      <x:c r="K14" s="64" t="n">
        <x:v>0</x:v>
      </x:c>
      <x:c r="L14" s="64" t="n">
        <x:v>0</x:v>
      </x:c>
      <x:c r="M14" s="64" t="n">
        <x:v>-90</x:v>
      </x:c>
      <x:c r="N14" s="68" t="n">
        <x:v>-92</x:v>
      </x:c>
      <x:c r="O14" s="68" t="n">
        <x:v>37.5</x:v>
      </x:c>
      <x:c r="P14" s="71" t="n">
        <x:f>IF($E14="Fixed","",$K14/1000)</x:f>
        <x:v>0</x:v>
      </x:c>
      <x:c r="Q14" s="71" t="n">
        <x:f>IF($E14="Fixed","",$L14/1000)</x:f>
        <x:v>0</x:v>
      </x:c>
      <x:c r="R14" s="71" t="n">
        <x:f>IF($E14="Fixed","",$M14/1000)</x:f>
        <x:v>-0.09</x:v>
      </x:c>
      <x:c r="S14" s="270" t="n">
        <x:v>-1.6057029118347832</x:v>
      </x:c>
      <x:c r="T14" s="270" t="n">
        <x:f>IF($E14="Fixed","",PI()/180*$O14)</x:f>
        <x:v>0.6544984694978736</x:v>
      </x:c>
      <x:c r="U14" s="449" t="n">
        <x:f>ST3215_3S_Reference!$B$7</x:f>
        <x:v>40</x:v>
      </x:c>
      <x:c r="V14" s="449" t="n">
        <x:f>IF($E14="Fixed","",$U14*2*PI()/60)</x:f>
        <x:v>4.1887902047863905</x:v>
      </x:c>
      <x:c r="W14" s="449" t="n">
        <x:f>ST3215_3S_Reference!$B$12</x:f>
        <x:v>9.2</x:v>
      </x:c>
      <x:c r="X14" s="76" t="n">
        <x:f>IF($E14="Fixed","",$W14*0.0980665)</x:f>
        <x:v>0.9022117999999999</x:v>
      </x:c>
      <x:c r="Y14" s="421" t="n">
        <x:f>ST3215_3S_Reference!$B$22</x:f>
        <x:v>27.825000000000003</x:v>
      </x:c>
    </x:row>
    <x:row r="15" ht="19" customHeight="1">
      <x:c r="A15" s="54" t="str">
        <x:v>RF</x:v>
      </x:c>
      <x:c r="B15" s="55" t="str">
        <x:v>rf_foot_joint</x:v>
      </x:c>
      <x:c r="C15" s="55" t="str">
        <x:v>rf_lower_leg_link</x:v>
      </x:c>
      <x:c r="D15" s="55" t="str">
        <x:v>rf_foot_link</x:v>
      </x:c>
      <x:c r="E15" s="55" t="str">
        <x:v>Fixed</x:v>
      </x:c>
      <x:c r="F15" s="55"/>
      <x:c r="G15" s="55"/>
      <x:c r="H15" s="55"/>
      <x:c r="I15" s="55"/>
      <x:c r="J15" s="55"/>
      <x:c r="K15" s="65" t="n">
        <x:v>107</x:v>
      </x:c>
      <x:c r="L15" s="65" t="n">
        <x:v>1.5</x:v>
      </x:c>
      <x:c r="M15" s="65" t="n">
        <x:v>-49.9</x:v>
      </x:c>
      <x:c r="N15" s="65"/>
      <x:c r="O15" s="65"/>
      <x:c r="P15" s="72" t="str">
        <x:f>IF($E15="Fixed","",$K15/1000)</x:f>
      </x:c>
      <x:c r="Q15" s="72" t="str">
        <x:f>IF($E15="Fixed","",$L15/1000)</x:f>
      </x:c>
      <x:c r="R15" s="72" t="str">
        <x:f>IF($E15="Fixed","",$M15/1000)</x:f>
      </x:c>
      <x:c r="S15" s="271" t="str">
        <x:f>IF($E15="Fixed","",PI()/180*$N15)</x:f>
      </x:c>
      <x:c r="T15" s="271" t="str">
        <x:f>IF($E15="Fixed","",PI()/180*$O15)</x:f>
      </x:c>
      <x:c r="U15" s="450"/>
      <x:c r="V15" s="450" t="str">
        <x:f>IF($E15="Fixed","",$U15*2*PI()/60)</x:f>
      </x:c>
      <x:c r="W15" s="450"/>
      <x:c r="X15" s="78" t="str">
        <x:f>IF($E15="Fixed","",$W15*0.0980665)</x:f>
      </x:c>
      <x:c r="Y15" s="421"/>
    </x:row>
    <x:row r="16" ht="19" customHeight="1">
      <x:c r="A16" s="48" t="str">
        <x:v>RH</x:v>
      </x:c>
      <x:c r="B16" s="43" t="str">
        <x:v>rh_hip_joint</x:v>
      </x:c>
      <x:c r="C16" s="43" t="str">
        <x:v>base_link</x:v>
      </x:c>
      <x:c r="D16" s="43" t="str">
        <x:v>rh_hip_link</x:v>
      </x:c>
      <x:c r="E16" s="43" t="str">
        <x:v>Revolute</x:v>
      </x:c>
      <x:c r="F16" s="43" t="n">
        <x:v>33</x:v>
      </x:c>
      <x:c r="G16" s="43" t="n">
        <x:v>-1</x:v>
      </x:c>
      <x:c r="H16" s="43" t="n">
        <x:v>1</x:v>
      </x:c>
      <x:c r="I16" s="43" t="n">
        <x:v>0</x:v>
      </x:c>
      <x:c r="J16" s="43" t="n">
        <x:v>0</x:v>
      </x:c>
      <x:c r="K16" s="64" t="n">
        <x:v>-112.5</x:v>
      </x:c>
      <x:c r="L16" s="64" t="n">
        <x:v>-47.5</x:v>
      </x:c>
      <x:c r="M16" s="64">
        <x:v>28.7</x:v>
      </x:c>
      <x:c r="N16" s="64" t="n">
        <x:v>-45</x:v>
      </x:c>
      <x:c r="O16" s="64" t="n">
        <x:v>45</x:v>
      </x:c>
      <x:c r="P16" s="70" t="n">
        <x:f>IF($E16="Fixed","",$K16/1000)</x:f>
        <x:v>-0.1125</x:v>
      </x:c>
      <x:c r="Q16" s="70" t="n">
        <x:f>IF($E16="Fixed","",$L16/1000)</x:f>
        <x:v>-0.0475</x:v>
      </x:c>
      <x:c r="R16" s="70" t="n">
        <x:f>IF($E16="Fixed","",$M16/1000)</x:f>
        <x:v>0.0287</x:v>
      </x:c>
      <x:c r="S16" s="269" t="n">
        <x:f>IF($E16="Fixed","",PI()/180*$N16)</x:f>
        <x:v>-0.7853981633974483</x:v>
      </x:c>
      <x:c r="T16" s="269" t="n">
        <x:f>IF($E16="Fixed","",PI()/180*$O16)</x:f>
        <x:v>0.7853981633974483</x:v>
      </x:c>
      <x:c r="U16" s="449" t="n">
        <x:f>ST3215_3S_Reference!$B$7</x:f>
        <x:v>40</x:v>
      </x:c>
      <x:c r="V16" s="449" t="n">
        <x:f>IF($E16="Fixed","",$U16*2*PI()/60)</x:f>
        <x:v>4.1887902047863905</x:v>
      </x:c>
      <x:c r="W16" s="449" t="n">
        <x:f>ST3215_3S_Reference!$B$12</x:f>
        <x:v>9.2</x:v>
      </x:c>
      <x:c r="X16" s="76" t="n">
        <x:f>IF($E16="Fixed","",$W16*0.0980665)</x:f>
        <x:v>0.9022117999999999</x:v>
      </x:c>
      <x:c r="Y16" s="421" t="n">
        <x:f>ST3215_3S_Reference!$B$22</x:f>
        <x:v>27.825000000000003</x:v>
      </x:c>
    </x:row>
    <x:row r="17" ht="19" customHeight="1">
      <x:c r="A17" s="48" t="str">
        <x:v>RH</x:v>
      </x:c>
      <x:c r="B17" s="43" t="str">
        <x:v>rh_upper_leg_joint</x:v>
      </x:c>
      <x:c r="C17" s="43" t="str">
        <x:v>rh_hip_link</x:v>
      </x:c>
      <x:c r="D17" s="43" t="str">
        <x:v>rh_upper_leg_link</x:v>
      </x:c>
      <x:c r="E17" s="43" t="str">
        <x:v>Revolute</x:v>
      </x:c>
      <x:c r="F17" s="43" t="n">
        <x:v>32</x:v>
      </x:c>
      <x:c r="G17" s="43" t="n">
        <x:v>-1</x:v>
      </x:c>
      <x:c r="H17" s="43" t="n">
        <x:v>0</x:v>
      </x:c>
      <x:c r="I17" s="43" t="n">
        <x:v>1</x:v>
      </x:c>
      <x:c r="J17" s="43" t="n">
        <x:v>0</x:v>
      </x:c>
      <x:c r="K17" s="64" t="n">
        <x:v>0</x:v>
      </x:c>
      <x:c r="L17" s="64" t="n">
        <x:v>-48</x:v>
      </x:c>
      <x:c r="M17" s="64" t="n">
        <x:v>0</x:v>
      </x:c>
      <x:c r="N17" s="68" t="n">
        <x:v>-52.5</x:v>
      </x:c>
      <x:c r="O17" s="68" t="n">
        <x:v>122.5</x:v>
      </x:c>
      <x:c r="P17" s="71" t="n">
        <x:f>IF($E17="Fixed","",$K17/1000)</x:f>
        <x:v>0</x:v>
      </x:c>
      <x:c r="Q17" s="71" t="n">
        <x:f>IF($E17="Fixed","",$L17/1000)</x:f>
        <x:v>-0.048</x:v>
      </x:c>
      <x:c r="R17" s="71" t="n">
        <x:f>IF($E17="Fixed","",$M17/1000)</x:f>
        <x:v>0</x:v>
      </x:c>
      <x:c r="S17" s="270" t="n">
        <x:f>IF($E17="Fixed","",PI()/180*$N17)</x:f>
        <x:v>-0.9162978572970231</x:v>
      </x:c>
      <x:c r="T17" s="270" t="n">
        <x:f>IF($E17="Fixed","",PI()/180*$O17)</x:f>
        <x:v>2.138028333693054</x:v>
      </x:c>
      <x:c r="U17" s="449" t="n">
        <x:f>ST3215_3S_Reference!$B$7</x:f>
        <x:v>40</x:v>
      </x:c>
      <x:c r="V17" s="449" t="n">
        <x:f>IF($E17="Fixed","",$U17*2*PI()/60)</x:f>
        <x:v>4.1887902047863905</x:v>
      </x:c>
      <x:c r="W17" s="449" t="n">
        <x:f>ST3215_3S_Reference!$B$12</x:f>
        <x:v>9.2</x:v>
      </x:c>
      <x:c r="X17" s="76" t="n">
        <x:f>IF($E17="Fixed","",$W17*0.0980665)</x:f>
        <x:v>0.9022117999999999</x:v>
      </x:c>
      <x:c r="Y17" s="421" t="n">
        <x:f>ST3215_3S_Reference!$B$22</x:f>
        <x:v>27.825000000000003</x:v>
      </x:c>
    </x:row>
    <x:row r="18" ht="19" customHeight="1">
      <x:c r="A18" s="48" t="str">
        <x:v>RH</x:v>
      </x:c>
      <x:c r="B18" s="43" t="str">
        <x:v>rh_lower_leg_joint</x:v>
      </x:c>
      <x:c r="C18" s="43" t="str">
        <x:v>rh_upper_leg_link</x:v>
      </x:c>
      <x:c r="D18" s="43" t="str">
        <x:v>rh_lower_leg_link</x:v>
      </x:c>
      <x:c r="E18" s="43" t="str">
        <x:v>Revolute</x:v>
      </x:c>
      <x:c r="F18" s="43" t="n">
        <x:v>31</x:v>
      </x:c>
      <x:c r="G18" s="43" t="n">
        <x:v>-1</x:v>
      </x:c>
      <x:c r="H18" s="43" t="n">
        <x:v>0</x:v>
      </x:c>
      <x:c r="I18" s="43" t="n">
        <x:v>1</x:v>
      </x:c>
      <x:c r="J18" s="43" t="n">
        <x:v>0</x:v>
      </x:c>
      <x:c r="K18" s="64" t="n">
        <x:v>0</x:v>
      </x:c>
      <x:c r="L18" s="64" t="n">
        <x:v>0</x:v>
      </x:c>
      <x:c r="M18" s="64" t="n">
        <x:v>-90</x:v>
      </x:c>
      <x:c r="N18" s="68" t="n">
        <x:v>-92</x:v>
      </x:c>
      <x:c r="O18" s="68" t="n">
        <x:v>37.5</x:v>
      </x:c>
      <x:c r="P18" s="71" t="n">
        <x:f>IF($E18="Fixed","",$K18/1000)</x:f>
        <x:v>0</x:v>
      </x:c>
      <x:c r="Q18" s="71" t="n">
        <x:f>IF($E18="Fixed","",$L18/1000)</x:f>
        <x:v>0</x:v>
      </x:c>
      <x:c r="R18" s="71" t="n">
        <x:f>IF($E18="Fixed","",$M18/1000)</x:f>
        <x:v>-0.09</x:v>
      </x:c>
      <x:c r="S18" s="270" t="n">
        <x:v>-1.6057029118347832</x:v>
      </x:c>
      <x:c r="T18" s="270" t="n">
        <x:f>IF($E18="Fixed","",PI()/180*$O18)</x:f>
        <x:v>0.6544984694978736</x:v>
      </x:c>
      <x:c r="U18" s="449" t="n">
        <x:f>ST3215_3S_Reference!$B$7</x:f>
        <x:v>40</x:v>
      </x:c>
      <x:c r="V18" s="449" t="n">
        <x:f>IF($E18="Fixed","",$U18*2*PI()/60)</x:f>
        <x:v>4.1887902047863905</x:v>
      </x:c>
      <x:c r="W18" s="449" t="n">
        <x:f>ST3215_3S_Reference!$B$12</x:f>
        <x:v>9.2</x:v>
      </x:c>
      <x:c r="X18" s="76" t="n">
        <x:f>IF($E18="Fixed","",$W18*0.0980665)</x:f>
        <x:v>0.9022117999999999</x:v>
      </x:c>
      <x:c r="Y18" s="421" t="n">
        <x:f>ST3215_3S_Reference!$B$22</x:f>
        <x:v>27.825000000000003</x:v>
      </x:c>
    </x:row>
    <x:row r="19" ht="19" customHeight="1">
      <x:c r="A19" s="54" t="str">
        <x:v>RH</x:v>
      </x:c>
      <x:c r="B19" s="55" t="str">
        <x:v>rh_foot_joint</x:v>
      </x:c>
      <x:c r="C19" s="55" t="str">
        <x:v>rh_lower_leg_link</x:v>
      </x:c>
      <x:c r="D19" s="55" t="str">
        <x:v>rh_foot_link</x:v>
      </x:c>
      <x:c r="E19" s="55" t="str">
        <x:v>Fixed</x:v>
      </x:c>
      <x:c r="F19" s="55"/>
      <x:c r="G19" s="55"/>
      <x:c r="H19" s="55"/>
      <x:c r="I19" s="55"/>
      <x:c r="J19" s="55"/>
      <x:c r="K19" s="65" t="n">
        <x:v>107</x:v>
      </x:c>
      <x:c r="L19" s="65" t="n">
        <x:v>1.5</x:v>
      </x:c>
      <x:c r="M19" s="65" t="n">
        <x:v>-49.9</x:v>
      </x:c>
      <x:c r="N19" s="65"/>
      <x:c r="O19" s="65"/>
      <x:c r="P19" s="72" t="str">
        <x:f>IF($E19="Fixed","",$K19/1000)</x:f>
      </x:c>
      <x:c r="Q19" s="72" t="str">
        <x:f>IF($E19="Fixed","",$L19/1000)</x:f>
      </x:c>
      <x:c r="R19" s="72" t="str">
        <x:f>IF($E19="Fixed","",$M19/1000)</x:f>
      </x:c>
      <x:c r="S19" s="271" t="str">
        <x:f>IF($E19="Fixed","",PI()/180*$N19)</x:f>
      </x:c>
      <x:c r="T19" s="271" t="str">
        <x:f>IF($E19="Fixed","",PI()/180*$O19)</x:f>
      </x:c>
      <x:c r="U19" s="450"/>
      <x:c r="V19" s="450" t="str">
        <x:f>IF($E19="Fixed","",$U19*2*PI()/60)</x:f>
      </x:c>
      <x:c r="W19" s="450"/>
      <x:c r="X19" s="78" t="str">
        <x:f>IF($E19="Fixed","",$W19*0.0980665)</x:f>
      </x:c>
      <x:c r="Y19" s="421"/>
    </x:row>
    <x:row r="20" ht="19" customHeight="1">
      <x:c r="A20" s="48" t="str">
        <x:v>LH</x:v>
      </x:c>
      <x:c r="B20" s="43" t="str">
        <x:v>lh_hip_joint</x:v>
      </x:c>
      <x:c r="C20" s="43" t="str">
        <x:v>base_link</x:v>
      </x:c>
      <x:c r="D20" s="43" t="str">
        <x:v>lh_hip_link</x:v>
      </x:c>
      <x:c r="E20" s="43" t="str">
        <x:v>Revolute</x:v>
      </x:c>
      <x:c r="F20" s="43" t="n">
        <x:v>43</x:v>
      </x:c>
      <x:c r="G20" s="43" t="n">
        <x:v>-1</x:v>
      </x:c>
      <x:c r="H20" s="43" t="n">
        <x:v>1</x:v>
      </x:c>
      <x:c r="I20" s="43" t="n">
        <x:v>0</x:v>
      </x:c>
      <x:c r="J20" s="43" t="n">
        <x:v>0</x:v>
      </x:c>
      <x:c r="K20" s="64" t="n">
        <x:v>-112.5</x:v>
      </x:c>
      <x:c r="L20" s="64" t="n">
        <x:v>47.5</x:v>
      </x:c>
      <x:c r="M20" s="64">
        <x:v>28.7</x:v>
      </x:c>
      <x:c r="N20" s="64" t="n">
        <x:v>-45</x:v>
      </x:c>
      <x:c r="O20" s="64" t="n">
        <x:v>45</x:v>
      </x:c>
      <x:c r="P20" s="70" t="n">
        <x:f>IF($E20="Fixed","",$K20/1000)</x:f>
        <x:v>-0.1125</x:v>
      </x:c>
      <x:c r="Q20" s="70" t="n">
        <x:f>IF($E20="Fixed","",$L20/1000)</x:f>
        <x:v>0.0475</x:v>
      </x:c>
      <x:c r="R20" s="70" t="n">
        <x:f>IF($E20="Fixed","",$M20/1000)</x:f>
        <x:v>0.0287</x:v>
      </x:c>
      <x:c r="S20" s="269" t="n">
        <x:f>IF($E20="Fixed","",PI()/180*$N20)</x:f>
        <x:v>-0.7853981633974483</x:v>
      </x:c>
      <x:c r="T20" s="269" t="n">
        <x:f>IF($E20="Fixed","",PI()/180*$O20)</x:f>
        <x:v>0.7853981633974483</x:v>
      </x:c>
      <x:c r="U20" s="449" t="n">
        <x:f>ST3215_3S_Reference!$B$7</x:f>
        <x:v>40</x:v>
      </x:c>
      <x:c r="V20" s="449" t="n">
        <x:f>IF($E20="Fixed","",$U20*2*PI()/60)</x:f>
        <x:v>4.1887902047863905</x:v>
      </x:c>
      <x:c r="W20" s="449" t="n">
        <x:f>ST3215_3S_Reference!$B$12</x:f>
        <x:v>9.2</x:v>
      </x:c>
      <x:c r="X20" s="76" t="n">
        <x:f>IF($E20="Fixed","",$W20*0.0980665)</x:f>
        <x:v>0.9022117999999999</x:v>
      </x:c>
      <x:c r="Y20" s="421" t="n">
        <x:f>ST3215_3S_Reference!$B$22</x:f>
        <x:v>27.825000000000003</x:v>
      </x:c>
    </x:row>
    <x:row r="21" ht="19" customHeight="1">
      <x:c r="A21" s="48" t="str">
        <x:v>LH</x:v>
      </x:c>
      <x:c r="B21" s="43" t="str">
        <x:v>lh_upper_leg_joint</x:v>
      </x:c>
      <x:c r="C21" s="43" t="str">
        <x:v>lh_hip_link</x:v>
      </x:c>
      <x:c r="D21" s="43" t="str">
        <x:v>lh_upper_leg_link</x:v>
      </x:c>
      <x:c r="E21" s="43" t="str">
        <x:v>Revolute</x:v>
      </x:c>
      <x:c r="F21" s="43" t="n">
        <x:v>42</x:v>
      </x:c>
      <x:c r="G21" s="43" t="n">
        <x:v>1</x:v>
      </x:c>
      <x:c r="H21" s="43" t="n">
        <x:v>0</x:v>
      </x:c>
      <x:c r="I21" s="43" t="n">
        <x:v>1</x:v>
      </x:c>
      <x:c r="J21" s="43" t="n">
        <x:v>0</x:v>
      </x:c>
      <x:c r="K21" s="64" t="n">
        <x:v>0</x:v>
      </x:c>
      <x:c r="L21" s="64" t="n">
        <x:v>48</x:v>
      </x:c>
      <x:c r="M21" s="64" t="n">
        <x:v>0</x:v>
      </x:c>
      <x:c r="N21" s="68" t="n">
        <x:v>-52.5</x:v>
      </x:c>
      <x:c r="O21" s="68" t="n">
        <x:v>122.5</x:v>
      </x:c>
      <x:c r="P21" s="71" t="n">
        <x:f>IF($E21="Fixed","",$K21/1000)</x:f>
        <x:v>0</x:v>
      </x:c>
      <x:c r="Q21" s="71" t="n">
        <x:f>IF($E21="Fixed","",$L21/1000)</x:f>
        <x:v>0.048</x:v>
      </x:c>
      <x:c r="R21" s="71" t="n">
        <x:f>IF($E21="Fixed","",$M21/1000)</x:f>
        <x:v>0</x:v>
      </x:c>
      <x:c r="S21" s="270" t="n">
        <x:f>IF($E21="Fixed","",PI()/180*$N21)</x:f>
        <x:v>-0.9162978572970231</x:v>
      </x:c>
      <x:c r="T21" s="270" t="n">
        <x:f>IF($E21="Fixed","",PI()/180*$O21)</x:f>
        <x:v>2.138028333693054</x:v>
      </x:c>
      <x:c r="U21" s="449" t="n">
        <x:f>ST3215_3S_Reference!$B$7</x:f>
        <x:v>40</x:v>
      </x:c>
      <x:c r="V21" s="449" t="n">
        <x:f>IF($E21="Fixed","",$U21*2*PI()/60)</x:f>
        <x:v>4.1887902047863905</x:v>
      </x:c>
      <x:c r="W21" s="449" t="n">
        <x:f>ST3215_3S_Reference!$B$12</x:f>
        <x:v>9.2</x:v>
      </x:c>
      <x:c r="X21" s="76" t="n">
        <x:f>IF($E21="Fixed","",$W21*0.0980665)</x:f>
        <x:v>0.9022117999999999</x:v>
      </x:c>
      <x:c r="Y21" s="421" t="n">
        <x:f>ST3215_3S_Reference!$B$22</x:f>
        <x:v>27.825000000000003</x:v>
      </x:c>
    </x:row>
    <x:row r="22" ht="19" customHeight="1">
      <x:c r="A22" s="48" t="str">
        <x:v>LH</x:v>
      </x:c>
      <x:c r="B22" s="43" t="str">
        <x:v>lh_lower_leg_joint</x:v>
      </x:c>
      <x:c r="C22" s="43" t="str">
        <x:v>lh_upper_leg_link</x:v>
      </x:c>
      <x:c r="D22" s="43" t="str">
        <x:v>lh_lower_leg_link</x:v>
      </x:c>
      <x:c r="E22" s="43" t="str">
        <x:v>Revolute</x:v>
      </x:c>
      <x:c r="F22" s="43" t="n">
        <x:v>41</x:v>
      </x:c>
      <x:c r="G22" s="43" t="n">
        <x:v>1</x:v>
      </x:c>
      <x:c r="H22" s="43" t="n">
        <x:v>0</x:v>
      </x:c>
      <x:c r="I22" s="43" t="n">
        <x:v>1</x:v>
      </x:c>
      <x:c r="J22" s="43" t="n">
        <x:v>0</x:v>
      </x:c>
      <x:c r="K22" s="64" t="n">
        <x:v>0</x:v>
      </x:c>
      <x:c r="L22" s="64" t="n">
        <x:v>0</x:v>
      </x:c>
      <x:c r="M22" s="64" t="n">
        <x:v>-90</x:v>
      </x:c>
      <x:c r="N22" s="68" t="n">
        <x:v>-92</x:v>
      </x:c>
      <x:c r="O22" s="68" t="n">
        <x:v>37.5</x:v>
      </x:c>
      <x:c r="P22" s="71" t="n">
        <x:f>IF($E22="Fixed","",$K22/1000)</x:f>
        <x:v>0</x:v>
      </x:c>
      <x:c r="Q22" s="71" t="n">
        <x:f>IF($E22="Fixed","",$L22/1000)</x:f>
        <x:v>0</x:v>
      </x:c>
      <x:c r="R22" s="71" t="n">
        <x:f>IF($E22="Fixed","",$M22/1000)</x:f>
        <x:v>-0.09</x:v>
      </x:c>
      <x:c r="S22" s="270" t="n">
        <x:v>-1.6057029118347832</x:v>
      </x:c>
      <x:c r="T22" s="270" t="n">
        <x:f>IF($E22="Fixed","",PI()/180*$O22)</x:f>
        <x:v>0.6544984694978736</x:v>
      </x:c>
      <x:c r="U22" s="449" t="n">
        <x:f>ST3215_3S_Reference!$B$7</x:f>
        <x:v>40</x:v>
      </x:c>
      <x:c r="V22" s="449" t="n">
        <x:f>IF($E22="Fixed","",$U22*2*PI()/60)</x:f>
        <x:v>4.1887902047863905</x:v>
      </x:c>
      <x:c r="W22" s="449" t="n">
        <x:f>ST3215_3S_Reference!$B$12</x:f>
        <x:v>9.2</x:v>
      </x:c>
      <x:c r="X22" s="76" t="n">
        <x:f>IF($E22="Fixed","",$W22*0.0980665)</x:f>
        <x:v>0.9022117999999999</x:v>
      </x:c>
      <x:c r="Y22" s="421" t="n">
        <x:f>ST3215_3S_Reference!$B$22</x:f>
        <x:v>27.825000000000003</x:v>
      </x:c>
    </x:row>
    <x:row r="23" ht="19" customHeight="1">
      <x:c r="A23" s="54" t="str">
        <x:v>LH</x:v>
      </x:c>
      <x:c r="B23" s="55" t="str">
        <x:v>lh_foot_joint</x:v>
      </x:c>
      <x:c r="C23" s="55" t="str">
        <x:v>lh_lower_leg_link</x:v>
      </x:c>
      <x:c r="D23" s="55" t="str">
        <x:v>lh_foot_link</x:v>
      </x:c>
      <x:c r="E23" s="55" t="str">
        <x:v>Fixed</x:v>
      </x:c>
      <x:c r="F23" s="55"/>
      <x:c r="G23" s="55"/>
      <x:c r="H23" s="55"/>
      <x:c r="I23" s="55"/>
      <x:c r="J23" s="55"/>
      <x:c r="K23" s="65" t="n">
        <x:v>107</x:v>
      </x:c>
      <x:c r="L23" s="65" t="n">
        <x:v>-1.5</x:v>
      </x:c>
      <x:c r="M23" s="65" t="n">
        <x:v>-49.9</x:v>
      </x:c>
      <x:c r="N23" s="65"/>
      <x:c r="O23" s="65"/>
      <x:c r="P23" s="72" t="str">
        <x:f>IF($E23="Fixed","",$K23/1000)</x:f>
      </x:c>
      <x:c r="Q23" s="72" t="str">
        <x:f>IF($E23="Fixed","",$L23/1000)</x:f>
      </x:c>
      <x:c r="R23" s="72" t="str">
        <x:f>IF($E23="Fixed","",$M23/1000)</x:f>
      </x:c>
      <x:c r="S23" s="271" t="str">
        <x:f>IF($E23="Fixed","",PI()/180*$N23)</x:f>
      </x:c>
      <x:c r="T23" s="271" t="str">
        <x:f>IF($E23="Fixed","",PI()/180*$O23)</x:f>
      </x:c>
      <x:c r="U23" s="450"/>
      <x:c r="V23" s="450" t="str">
        <x:f>IF($E23="Fixed","",$U23*2*PI()/60)</x:f>
      </x:c>
      <x:c r="W23" s="450"/>
      <x:c r="X23" s="78" t="str">
        <x:f>IF($E23="Fixed","",$W23*0.0980665)</x:f>
      </x:c>
      <x:c r="Y23" s="421"/>
    </x:row>
  </x:sheetData>
  <x:mergeCells>
    <x:mergeCell ref="A1:X1"/>
    <x:mergeCell ref="A2:X2"/>
  </x:mergeCells>
  <x:pageMargins left="0.7" right="0.7" top="0.75" bottom="0.75" header="0.3" footer="0.3"/>
  <x:tableParts count="1">
    <x:tablePart xmlns:r="http://schemas.openxmlformats.org/officeDocument/2006/relationships" r:id="R2c632fc8b19f47b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78" hidden="0" customWidth="1"/>
    <x:col min="4" max="4" width="40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9" customHeight="1">
      <x:c r="A1" s="434" t="str">
        <x:v>MATDOG REV01-FIX — NOTE TECNICHE, METODO, AUDIT E FONTI</x:v>
      </x:c>
      <x:c r="B1" s="434"/>
      <x:c r="C1" s="434"/>
      <x:c r="D1" s="5"/>
      <x:c r="E1" s="5"/>
      <x:c r="F1" s="5"/>
      <x:c r="G1" s="5"/>
      <x:c r="H1" s="5"/>
    </x:row>
    <x:row r="3">
      <x:c r="A3" s="90" t="str">
        <x:v>Documento</x:v>
      </x:c>
      <x:c r="B3" s="43" t="str">
        <x:v>Coordinate Cinematiche — Canonical</x:v>
      </x:c>
    </x:row>
    <x:row r="4">
      <x:c r="A4" s="90" t="str">
        <x:v>Robot</x:v>
      </x:c>
      <x:c r="B4" s="43" t="str">
        <x:v>matt_robodog_rev00</x:v>
      </x:c>
    </x:row>
    <x:row r="5">
      <x:c r="A5" s="90" t="str">
        <x:v>File URDF finale</x:v>
      </x:c>
      <x:c r="B5" s="43" t="str">
        <x:v>matt_robodog_rev00.urdf</x:v>
      </x:c>
      <x:c r="C5"/>
    </x:row>
    <x:row r="6">
      <x:c r="A6" s="90" t="str">
        <x:v>Stato</x:v>
      </x:c>
      <x:c r="B6" s="95" t="str">
        <x:v>Baseline cinematica + dinamica + scala mesh approvata</x:v>
      </x:c>
      <x:c r="C6"/>
    </x:row>
    <x:row r="8">
      <x:c r="A8" s="100" t="str">
        <x:v>Convenzioni di riferimento</x:v>
      </x:c>
      <x:c r="B8" s="100"/>
      <x:c r="C8" s="100"/>
      <x:c r="D8" s="100"/>
      <x:c r="E8" s="100"/>
      <x:c r="F8" s="100"/>
      <x:c r="G8" s="100"/>
      <x:c r="H8" s="100"/>
    </x:row>
    <x:row r="9" ht="24" customHeight="1">
      <x:c r="A9" s="52" t="str">
        <x:v>1</x:v>
      </x:c>
      <x:c r="B9" s="111" t="str">
        <x:v>Frame robot ROS</x:v>
      </x:c>
      <x:c r="C9" s="115" t="str">
        <x:v>X avanti · Y sinistra · Z alto · sistema destrorso.</x:v>
      </x:c>
      <x:c r="D9" s="115"/>
      <x:c r="E9" s="115"/>
      <x:c r="F9" s="115"/>
      <x:c r="G9" s="115"/>
      <x:c r="H9" s="115"/>
    </x:row>
    <x:row r="10" ht="24" customHeight="1">
      <x:c r="A10" s="52" t="str">
        <x:v>2</x:v>
      </x:c>
      <x:c r="B10" s="111" t="str">
        <x:v>Origine joint</x:v>
      </x:c>
      <x:c r="C10" s="115" t="str">
        <x:v>Ogni xyz di joint è espresso nel frame del parent link.</x:v>
      </x:c>
      <x:c r="D10" s="115"/>
      <x:c r="E10" s="115"/>
      <x:c r="F10" s="115"/>
      <x:c r="G10" s="115"/>
      <x:c r="H10" s="115"/>
    </x:row>
    <x:row r="11" ht="24" customHeight="1">
      <x:c r="A11" s="52" t="str">
        <x:v>3</x:v>
      </x:c>
      <x:c r="B11" s="111" t="str">
        <x:v>Frame mesh</x:v>
      </x:c>
      <x:c r="C11" s="115" t="str">
        <x:v>Ogni origin di visual/collision è espresso nel frame del link.</x:v>
      </x:c>
      <x:c r="D11" s="115"/>
      <x:c r="E11" s="115"/>
      <x:c r="F11" s="115"/>
      <x:c r="G11" s="115"/>
      <x:c r="H11" s="115"/>
    </x:row>
    <x:row r="12" ht="24" customHeight="1">
      <x:c r="A12" s="52" t="str">
        <x:v>4</x:v>
      </x:c>
      <x:c r="B12" s="111" t="str">
        <x:v>Collisione attuale</x:v>
      </x:c>
      <x:c r="C12" s="115" t="str">
        <x:v>Visual e collision usano la stessa STL per link (meshes/collision/&lt;link&gt;.stl): valida per verifica geometrica; non ancora ottimizzata per fisica.</x:v>
      </x:c>
      <x:c r="D12" s="115"/>
      <x:c r="E12" s="115"/>
      <x:c r="F12" s="115"/>
      <x:c r="G12" s="115"/>
      <x:c r="H12" s="115"/>
    </x:row>
    <x:row r="13" ht="24" customHeight="1">
      <x:c r="A13" s="52" t="str">
        <x:v>5</x:v>
      </x:c>
      <x:c r="B13" s="111" t="str">
        <x:v>Assi cinematici</x:v>
      </x:c>
      <x:c r="C13" s="115" t="str">
        <x:v>Hip: +X · Upper/Lower: +Y · Fixed foot: nessun asse.</x:v>
      </x:c>
      <x:c r="D13" s="115"/>
      <x:c r="E13" s="115"/>
      <x:c r="F13" s="115"/>
      <x:c r="G13" s="115"/>
      <x:c r="H13" s="115"/>
    </x:row>
    <x:row r="14" ht="24" customHeight="1">
      <x:c r="A14" s="52" t="str">
        <x:v>6</x:v>
      </x:c>
      <x:c r="B14" s="111" t="str">
        <x:v>Unità URDF</x:v>
      </x:c>
      <x:c r="C14" s="115" t="str">
        <x:v>Metri · radianti · rad/s · N·m.</x:v>
      </x:c>
      <x:c r="D14" s="115"/>
      <x:c r="E14" s="115"/>
      <x:c r="F14" s="115"/>
      <x:c r="G14" s="115"/>
      <x:c r="H14" s="115"/>
    </x:row>
    <x:row r="15">
      <x:c r="A15" t="str">
        <x:v>7</x:v>
      </x:c>
      <x:c r="B15" t="str">
        <x:v>Unità mesh STL</x:v>
      </x:c>
      <x:c r="C15" s="156" t="str">
        <x:v>Vertici STL esportati dal CAD in mm. In ogni mesh visual e collision URDF: scale="0.001 0.001 0.001"; joint, CoM e inerzie restano in unità SI.</x:v>
      </x:c>
    </x:row>
    <x:row r="16">
      <x:c r="A16" s="121" t="str">
        <x:v>Correzioni finali incorporate in questa revisione</x:v>
      </x:c>
      <x:c r="B16" s="121"/>
      <x:c r="C16" s="121"/>
      <x:c r="D16" s="121"/>
      <x:c r="E16" s="121"/>
      <x:c r="F16" s="121"/>
      <x:c r="G16" s="121"/>
      <x:c r="H16" s="121"/>
    </x:row>
    <x:row r="17" ht="24" customHeight="1">
      <x:c r="A17" s="29" t="str">
        <x:v>✓</x:v>
      </x:c>
      <x:c r="B17" s="82" t="str">
        <x:v>lh_hip_joint</x:v>
      </x:c>
      <x:c r="C17" s="115" t="str">
        <x:v>X = -112.5 mm: nodo posteriore sinistro corretto.</x:v>
      </x:c>
      <x:c r="D17" s="115"/>
      <x:c r="E17" s="115"/>
      <x:c r="F17" s="115"/>
      <x:c r="G17" s="115"/>
      <x:c r="H17" s="115"/>
    </x:row>
    <x:row r="18" ht="24" customHeight="1">
      <x:c r="A18" s="29" t="str">
        <x:v>✓</x:v>
      </x:c>
      <x:c r="B18" s="82" t="str">
        <x:v>upper_leg_joint (×4)</x:v>
      </x:c>
      <x:c r="C18" s="115" t="str">
        <x:v>Limiti corretti: θmin = -52.5° · θmax = +122.5°.</x:v>
      </x:c>
      <x:c r="D18" s="115"/>
      <x:c r="E18" s="115"/>
      <x:c r="F18" s="115"/>
      <x:c r="G18" s="115"/>
      <x:c r="H18" s="115"/>
    </x:row>
    <x:row r="19" ht="24" customHeight="1">
      <x:c r="A19" s="29" t="str">
        <x:v>✓</x:v>
      </x:c>
      <x:c r="B19" s="82" t="str">
        <x:v>lower_leg_joint (×4)</x:v>
      </x:c>
      <x:c r="C19" s="115" t="str">
        <x:v>Limiti corretti: θmin = -92.0° · θmax = +37.5°.</x:v>
      </x:c>
      <x:c r="D19" s="115"/>
      <x:c r="E19" s="115"/>
      <x:c r="F19" s="115"/>
      <x:c r="G19" s="115"/>
      <x:c r="H19" s="115"/>
    </x:row>
    <x:row r="20" ht="24" customHeight="1">
      <x:c r="A20" s="29" t="str">
        <x:v>✓</x:v>
      </x:c>
      <x:c r="B20" s="82" t="str">
        <x:v>Mesh origins (tutti i link)</x:v>
      </x:c>
      <x:c r="C20" s="115" t="str">
        <x:v>Visual + collision: xyz = 0, 0, 0 m · rpy = 0°, 0°, 0°.</x:v>
      </x:c>
      <x:c r="D20" s="115"/>
      <x:c r="E20" s="115"/>
      <x:c r="F20" s="115"/>
      <x:c r="G20" s="115"/>
      <x:c r="H20" s="115"/>
    </x:row>
    <x:row r="21" ht="24" customHeight="1">
      <x:c r="A21" s="29" t="str">
        <x:v>✓</x:v>
      </x:c>
      <x:c r="B21" s="82" t="str">
        <x:v>foot_joint (×4)</x:v>
      </x:c>
      <x:c r="C21" s="115" t="str">
        <x:v>Nomi corretti: joint fisso tra lower_leg_link e foot_link.</x:v>
      </x:c>
      <x:c r="D21" s="115"/>
      <x:c r="E21" s="115"/>
      <x:c r="F21" s="115"/>
      <x:c r="G21" s="115"/>
      <x:c r="H21" s="115"/>
    </x:row>
    <x:row r="22">
      <x:c r="A22" s="382" t="str">
        <x:v>Proprietà dinamiche REV01-FIX (Solid Edge 2026-10-30)</x:v>
      </x:c>
      <x:c r="B22" s="382"/>
      <x:c r="C22" s="382"/>
    </x:row>
    <x:row r="23" ht="20" customHeight="1">
      <x:c r="A23" s="383" t="str">
        <x:v>1</x:v>
      </x:c>
      <x:c r="B23" s="383" t="str">
        <x:v>Masse per link</x:v>
      </x:c>
      <x:c r="C23" s="383" t="str">
        <x:v>Masse per-link dai report Solid Edge 2026-10-30: totale 17-link = 2.928 kg (assieme 2.937 kg, residuo 9 g = risoluzione 1 g). Vedi Mass_Reconciliation.</x:v>
      </x:c>
    </x:row>
    <x:row r="24" ht="34" customHeight="1">
      <x:c r="A24" s="384" t="str">
        <x:v>2</x:v>
      </x:c>
      <x:c r="B24" s="301" t="str">
        <x:v>Centro di massa</x:v>
      </x:c>
      <x:c r="C24" s="301" t="str">
        <x:v>CoM per-link importati dal CAD in metri, espressi nel frame locale URDF.</x:v>
      </x:c>
    </x:row>
    <x:row r="25" ht="34" customHeight="1">
      <x:c r="A25" s="384" t="str">
        <x:v>3</x:v>
      </x:c>
      <x:c r="B25" s="301" t="str">
        <x:v>Inerzia</x:v>
      </x:c>
      <x:c r="C25" s="301" t="str">
        <x:v>Tensori al CoM ricostruiti da assi principali + raggi di girazione CAD e inseriti come blocchi &lt;inertial&gt; (configurazione nominale con Jetson Orin).</x:v>
      </x:c>
    </x:row>
    <x:row r="26" ht="34" customHeight="1">
      <x:c r="A26" s="384" t="str">
        <x:v>4</x:v>
      </x:c>
      <x:c r="B26" s="301" t="str">
        <x:v>Validazione</x:v>
      </x:c>
      <x:c r="C26" s="301" t="str">
        <x:v>Somma 17 link vs assieme CAD: scarto massimo CoM 0.42 mm; momenti principali entro 1 %.</x:v>
      </x:c>
    </x:row>
    <x:row r="27" ht="34" customHeight="1">
      <x:c r="A27" s="384" t="str">
        <x:v>5</x:v>
      </x:c>
      <x:c r="B27" s="301" t="str">
        <x:v>Neck yaw actuator</x:v>
      </x:c>
      <x:c r="C27" s="301" t="str">
        <x:v>Cinque motori fisici nel base_link CAD (4 HIP + neck yaw), confermati dall'operatore. Il neck yaw NON è attualmente modellato come joint/link autonomo nell'URDF. Nessuna massa va aggiunta.</x:v>
      </x:c>
    </x:row>
    <x:row r="28">
      <x:c r="A28" t="str">
        <x:v>ST3215 — riferimento 3S (non ancora limite operativo)</x:v>
      </x:c>
    </x:row>
    <x:row r="29">
      <x:c r="B29" t="str">
        <x:v>Dato FEETECH a 12 V</x:v>
      </x:c>
      <x:c r="C29" t="str">
        <x:v>Modello 3S nominale: 40 RPM è tetto quasi a vuoto; a 9,2 kgf·cm la stima è 27,825 RPM. Budget coppia nominale stimato ≠ capacità simultanea a 40 RPM.</x:v>
      </x:c>
    </x:row>
    <x:row r="30">
      <x:c r="B30" t="str">
        <x:v>Stima nominale a 11,1 V</x:v>
      </x:c>
      <x:c r="C30" t="str">
        <x:v>L'URDF operativo ancora usa 29 RPM e 0,902244 N·m. La revisione di questo Excel NON modifica né autorizza un nuovo limite firmware.</x:v>
      </x:c>
    </x:row>
    <x:row r="31">
      <x:c r="B31" t="str">
        <x:v>Limite URDF e firmware</x:v>
      </x:c>
      <x:c r="C31" t="str">
        <x:v>29 RPM attuali INVARIATI. Disallineamento dichiarato; cambiamento del limite esige revisione separata e qualificazione Motion.</x:v>
      </x:c>
    </x:row>
    <x:row r="32">
      <x:c r="B32" t="str">
        <x:v>Fonte di dettaglio masse</x:v>
      </x:c>
      <x:c r="C32" t="str">
        <x:v>Inertial_Properties è l’unica fonte delle masse dei 17 link; Weight_Evidence_2026-10-30 conserva distinta e pesata; Engineering_Weight_Source obsoleto rimosso.</x:v>
      </x:c>
    </x:row>
    <x:row r="34" ht="26" customHeight="1">
      <x:c r="A34" s="439" t="str">
        <x:v>METODO FISICO — TESTO ORIGINALE PRESERVATO</x:v>
      </x:c>
      <x:c r="B34" s="439"/>
      <x:c r="C34" s="439"/>
      <x:c r="D34" s="439"/>
      <x:c r="E34" s="439"/>
    </x:row>
    <x:row r="35" ht="62" customHeight="1">
      <x:c r="A35" t="str">
        <x:v>1. Data scope</x:v>
      </x:c>
      <x:c r="B35" s="156" t="str">
        <x:v>1. Data scope — Base link and LF subassemblies were exported from Solid Edge on 2026-10-30 in the single nominal configuration that includes the Jetson Orin. Each report prints the CoM, principal-axis directions and radii of gyration. Moments 'rispetto agli assi globali' are about the CAD origin, NOT the CoM: they are used only as a cross-check. The full assembly report is an aggregate validation.</x:v>
      </x:c>
    </x:row>
    <x:row r="36" ht="62" customHeight="1">
      <x:c r="A36" t="str">
        <x:v>2. Mass source</x:v>
      </x:c>
      <x:c r="B36" s="156" t="str">
        <x:v>2. Mass source — URDF masses are the Solid Edge per-link values (1 g resolution): base 1.828 kg, hip 0.050 kg, upper 0.152 kg, lower 0.059 kg and foot 0.014 kg; 17 links = 2.928 kg. The assembly reports 2.937 kg; the 9 g residual is documented in Mass_Reconciliation and not forced.</x:v>
      </x:c>
    </x:row>
    <x:row r="37" ht="62" customHeight="1">
      <x:c r="A37" t="str">
        <x:v>3. CoM source</x:v>
      </x:c>
      <x:c r="B37" s="156" t="str">
        <x:v>3. CoM source — The CoM of each report (mm) is converted to metres and used as &lt;inertial&gt;&lt;origin xyz=...&gt; in the link frame (the report frame equals the URDF link frame, verified against the REV00 hip CoM).</x:v>
      </x:c>
    </x:row>
    <x:row r="38" ht="62" customHeight="1">
      <x:c r="A38" t="str">
        <x:v>4. Inertia construction</x:v>
      </x:c>
      <x:c r="B38" s="156" t="str">
        <x:v>4. Inertia construction — The tensor at the CoM is rebuilt from principal axes and radii of gyration: I_C = Rᵀ diag(m·K₁², m·K₂², m·K₃²) R (units mm, kg·dm² converted to m, kg·m²). Check: the rebuilt tensors moved to the CAD origin reproduce the printed moments within the report rounding (diagonal error ≤ 4.4e-6 kg·m², i.e. below the 5e-6 rounding of 0.0005 kg·dm²). A printed '0.000' (foot) is a rounded small value, not zero inertia.</x:v>
      </x:c>
    </x:row>
    <x:row r="39" ht="62" customHeight="1">
      <x:c r="A39" t="str">
        <x:v>5. Axis cleanup</x:v>
      </x:c>
      <x:c r="B39" s="156" t="str">
        <x:v>5. Axis cleanup — The printed principal-axis matrices (3 decimals) are orthonormalised to the nearest rotation by SVD before the reconstruction (orthogonality error ≤ 9e-4 before cleanup).</x:v>
      </x:c>
    </x:row>
    <x:row r="40" ht="62" customHeight="1">
      <x:c r="A40" t="str">
        <x:v>6. Right-side derivation</x:v>
      </x:c>
      <x:c r="B40" s="156" t="str">
        <x:v>6. Right-side derivation — RF = local Y reflection of LF: M = diag(1,−1,1); CoM' = M·CoM, I' = M·I·Mᵀ. Verified on the collision meshes: RF vs reflected LF differs by ≤ 0.0002 mm in CoM and ≤ 8e-6 relative in inertia for hip, upper and lower leg.</x:v>
      </x:c>
    </x:row>
    <x:row r="41" ht="62" customHeight="1">
      <x:c r="A41" t="str">
        <x:v>7. Rear / foot derivation</x:v>
      </x:c>
      <x:c r="B41" s="156" t="str">
        <x:v>7. Rear / foot derivation — LH uses the LF frame (upper, lower and foot meshes identical to numerical precision); RH = Y reflection (upper, lower exact). The rear HIP collision meshes differ slightly from the front ones (volume −0.35 %, CoM 0.21 mm, inertia 0.8 % on the mesh estimate): rear hips inherit the LF CAD properties, an uncertainty below the 1 g mass resolution (2 %). Feet are identical.</x:v>
      </x:c>
    </x:row>
    <x:row r="42" ht="62" customHeight="1">
      <x:c r="A42" t="str">
        <x:v>8. Aggregate validation</x:v>
      </x:c>
      <x:c r="B42" s="156" t="str">
        <x:v>8. Aggregate validation — Rebuilt 17-link model: 2.928 kg, CoM = [0.688, −0.275, 17.286] mm, K = [115.39, 106.76, 73.74] mm. Solid Edge assembly (frame Base): 2.937 kg, CoM = [0.78, −0.59, 17.02] mm, K = [115.56, 106.96, 73.98] mm. CoM deviation 0.42 mm; principal moments within 1 %.</x:v>
      </x:c>
    </x:row>
    <x:row r="43" ht="62" customHeight="1">
      <x:c r="A43" t="str">
        <x:v>9. Product-of-inertia convention</x:v>
      </x:c>
      <x:c r="B43" s="156" t="str">
        <x:v>9. Convenzione prodotti d'inerzia — I prodotti stampati in Solid Edge sono ∫xy dm ecc.; i termini del tensore URDF sono i loro opposti. Verificato sul base_link.</x:v>
      </x:c>
    </x:row>
    <x:row r="44" ht="62" customHeight="1">
      <x:c r="A44" t="str">
        <x:v>10. Neck yaw actuator</x:v>
      </x:c>
      <x:c r="B44" s="156" t="str">
        <x:v>10. Neck yaw — Conferma dell'operatore: il quinto ST3215 è incluso in base_link CAD; il relativo joint/link non è ancora presente nell'URDF. Nessuna massa aggiuntiva.</x:v>
      </x:c>
    </x:row>
    <x:row r="45" ht="62" customHeight="1">
      <x:c r="A45" t="str">
        <x:v>11. Simulation scope</x:v>
      </x:c>
      <x:c r="B45" s="156" t="str">
        <x:v>11. Configurazione simulazione — un solo modello nominale con Jetson Orin; il peso reale 2,807 kg senza Jetson è evidenza storica. Dinamica non validata su hardware.</x:v>
      </x:c>
    </x:row>
    <x:row r="49" ht="26" customHeight="1">
      <x:c r="A49" s="439" t="str">
        <x:v>AUDIT MODELLO — ESITI OFFLINE</x:v>
      </x:c>
      <x:c r="B49" s="439"/>
      <x:c r="C49" s="439"/>
      <x:c r="D49" s="439"/>
      <x:c r="E49" s="439"/>
    </x:row>
    <x:row r="50">
      <x:c r="A50" t="str">
        <x:v>Area</x:v>
      </x:c>
      <x:c r="B50" t="str">
        <x:v>Esito</x:v>
      </x:c>
      <x:c r="C50" t="str">
        <x:v>Dettaglio</x:v>
      </x:c>
      <x:c r="D50" t="str">
        <x:v>Azione</x:v>
      </x:c>
      <x:c r="E50" t="str">
        <x:v>Stato</x:v>
      </x:c>
    </x:row>
    <x:row r="51" ht="54" customHeight="1">
      <x:c r="A51" t="str">
        <x:v>Struttura</x:v>
      </x:c>
      <x:c r="B51" t="str">
        <x:v>PASS</x:v>
      </x:c>
      <x:c r="C51" s="156" t="str">
        <x:v>17 link · 16 joint · singola root: base_link.</x:v>
      </x:c>
      <x:c r="D51" t="str">
        <x:v>Nessuna.</x:v>
      </x:c>
      <x:c r="E51" t="str">
        <x:v>Pulito</x:v>
      </x:c>
    </x:row>
    <x:row r="52" ht="54" customHeight="1">
      <x:c r="A52" t="str">
        <x:v>Catene cinematiche</x:v>
      </x:c>
      <x:c r="B52" t="str">
        <x:v>PASS</x:v>
      </x:c>
      <x:c r="C52" s="156" t="str">
        <x:v>4 catene complete: hip → upper → lower → foot.</x:v>
      </x:c>
      <x:c r="D52" t="str">
        <x:v>Nessuna.</x:v>
      </x:c>
      <x:c r="E52" t="str">
        <x:v>Pulito</x:v>
      </x:c>
    </x:row>
    <x:row r="53" ht="54" customHeight="1">
      <x:c r="A53" t="str">
        <x:v>Coordinate joint</x:v>
      </x:c>
      <x:c r="B53" t="str">
        <x:v>PASS</x:v>
      </x:c>
      <x:c r="C53" s="156" t="str">
        <x:v>Tutti gli origin joint sono nel parent-link frame; rpy joint = 0.</x:v>
      </x:c>
      <x:c r="D53" t="str">
        <x:v>Nessuna.</x:v>
      </x:c>
      <x:c r="E53" t="str">
        <x:v>Pulito</x:v>
      </x:c>
    </x:row>
    <x:row r="54" ht="54" customHeight="1">
      <x:c r="A54" t="str">
        <x:v>Lower leg limits</x:v>
      </x:c>
      <x:c r="B54" t="str">
        <x:v>PASS</x:v>
      </x:c>
      <x:c r="C54" s="156" t="str">
        <x:v>4 joint: θmin = -92° (-1.605702911835 rad) · θmax = +37.5°.</x:v>
      </x:c>
      <x:c r="D54" t="str">
        <x:v>Aggiornati nella presente revisione.</x:v>
      </x:c>
      <x:c r="E54" t="str">
        <x:v>Canonico</x:v>
      </x:c>
    </x:row>
    <x:row r="55" ht="54" customHeight="1">
      <x:c r="A55" t="str">
        <x:v>Upper leg limits</x:v>
      </x:c>
      <x:c r="B55" t="str">
        <x:v>PASS</x:v>
      </x:c>
      <x:c r="C55" s="156" t="str">
        <x:v>4 joint: θmin = -52.5° · θmax = +122.5°.</x:v>
      </x:c>
      <x:c r="D55" t="str">
        <x:v>Nessuna.</x:v>
      </x:c>
      <x:c r="E55" t="str">
        <x:v>Canonico</x:v>
      </x:c>
    </x:row>
    <x:row r="56" ht="54" customHeight="1">
      <x:c r="A56" t="str">
        <x:v>Mesh references</x:v>
      </x:c>
      <x:c r="B56" t="str">
        <x:v>PASS</x:v>
      </x:c>
      <x:c r="C56" s="156" t="str">
        <x:v>34 riferimenti mesh (visual + collision), tutti a meshes/collision/*.stl: una sola STL per link per entrambi; 17 asset unici; ogni mesh dichiara scale="0.001 0.001 0.001".</x:v>
      </x:c>
      <x:c r="D56" t="str">
        <x:v>Unificati in REV01-FIX (STL solo estetiche rimosse).</x:v>
      </x:c>
      <x:c r="E56" t="str">
        <x:v>Canonico</x:v>
      </x:c>
    </x:row>
    <x:row r="57" ht="54" customHeight="1">
      <x:c r="A57" t="str">
        <x:v>Mesh origins</x:v>
      </x:c>
      <x:c r="B57" t="str">
        <x:v>PASS</x:v>
      </x:c>
      <x:c r="C57" s="156" t="str">
        <x:v>17 link: visual e collision usano xyz 0,0,0 · rpy 0,0,0.</x:v>
      </x:c>
      <x:c r="D57" t="str">
        <x:v>Nessuna.</x:v>
      </x:c>
      <x:c r="E57" t="str">
        <x:v>Pulito</x:v>
      </x:c>
    </x:row>
    <x:row r="58" ht="54" customHeight="1">
      <x:c r="A58" t="str">
        <x:v>Visual / Collision</x:v>
      </x:c>
      <x:c r="B58" t="str">
        <x:v>PASS</x:v>
      </x:c>
      <x:c r="C58" s="156" t="str">
        <x:v>Per ciascun link visual e collision usano stessa mesh e stessa origin.</x:v>
      </x:c>
      <x:c r="D58" t="str">
        <x:v>Scelta attuale conservata.</x:v>
      </x:c>
      <x:c r="E58" t="str">
        <x:v>Coerente</x:v>
      </x:c>
    </x:row>
    <x:row r="59" ht="54" customHeight="1">
      <x:c r="A59" t="str">
        <x:v>Masses + CoM</x:v>
      </x:c>
      <x:c r="B59" t="str">
        <x:v>PASS</x:v>
      </x:c>
      <x:c r="C59" s="156" t="str">
        <x:v>2.928 kg from the Solid Edge per-link reports of 2026-10-30 (assembly 2.937 kg; 9 g = 1 g report resolution); every modeled link has a CAD CoM in its local URDF frame.</x:v>
      </x:c>
      <x:c r="D59" t="str">
        <x:v>Inserted in standard &lt;inertial&gt; blocks.</x:v>
      </x:c>
      <x:c r="E59" t="str">
        <x:v>Simulation-ready</x:v>
      </x:c>
    </x:row>
    <x:row r="60" ht="54" customHeight="1">
      <x:c r="A60" t="str">
        <x:v>Inertia tensors</x:v>
      </x:c>
      <x:c r="B60" t="str">
        <x:v>PASS</x:v>
      </x:c>
      <x:c r="C60" s="156" t="str">
        <x:v>Tensors reconstructed at CoM from principal axes + radii of gyration; positive definite, symmetric, triangle inequality verified; symmetry-derived legs aggregate-check against the full CAD assembly (CoM 0.42 mm).</x:v>
      </x:c>
      <x:c r="D60" t="str">
        <x:v>Inserted in standard &lt;inertial&gt; blocks.</x:v>
      </x:c>
      <x:c r="E60" t="str">
        <x:v>Simulation-ready</x:v>
      </x:c>
    </x:row>
    <x:row r="61" ht="54" customHeight="1">
      <x:c r="A61" t="str">
        <x:v>Neck yaw scope</x:v>
      </x:c>
      <x:c r="B61" t="str">
        <x:v>INFO</x:v>
      </x:c>
      <x:c r="C61" s="156" t="str">
        <x:v>5 ST3215 inclusi nel base_link CAD (quattro HIP e neck yaw); joint neck yaw non modellato nell'URDF. Nessuna doppia contabilizzazione.</x:v>
      </x:c>
      <x:c r="D61" t="str">
        <x:v>Nessun nuovo joint URDF in questo intervento.</x:v>
      </x:c>
      <x:c r="E61" t="str">
        <x:v>Controlled scope</x:v>
      </x:c>
    </x:row>
    <x:row r="62" ht="54" customHeight="1">
      <x:c r="A62" t="str">
        <x:v>Hip origin Z</x:v>
      </x:c>
      <x:c r="B62" t="str">
        <x:v>PASS</x:v>
      </x:c>
      <x:c r="C62" s="156" t="str">
        <x:v>LF/RF 0.0487 m, RH/LH 0.0287 m (+2.2 mm vs REV00); X/Y unchanged.</x:v>
      </x:c>
      <x:c r="D62" t="str">
        <x:v>Aggiornato in REV01-FIX.</x:v>
      </x:c>
      <x:c r="E62" t="str">
        <x:v>Canonico</x:v>
      </x:c>
    </x:row>
    <x:row r="63" ht="54" customHeight="1">
      <x:c r="A63" t="str">
        <x:v>ST3215 speed/torque</x:v>
      </x:c>
      <x:c r="B63" t="str">
        <x:v>INFO</x:v>
      </x:c>
      <x:c r="C63" s="156" t="str">
        <x:v>Velocità a vuoto dichiarata Feetech 45 RPM a 12 V; tetto progetto a vuoto 40 RPM a 11,1 V, NON disponibile insieme a 9,2 kg·cm. I 29 RPM restano nel firmware/URDF finché non qualificati.</x:v>
      </x:c>
      <x:c r="D63" t="str">
        <x:v>Non cambiare URDF/firmware fino a qualificazione Motion</x:v>
      </x:c>
      <x:c r="E63" t="str">
        <x:v>Candidato - non flashato</x:v>
      </x:c>
    </x:row>
    <x:row r="67" ht="26" customHeight="1">
      <x:c r="A67" s="439" t="str">
        <x:v>REGISTRO EVIDENZE E SHA (DALLA VERSIONE ORIGINALE)</x:v>
      </x:c>
      <x:c r="B67" s="439"/>
      <x:c r="C67" s="439"/>
      <x:c r="D67" s="439"/>
      <x:c r="E67" s="439"/>
    </x:row>
    <x:row r="68">
      <x:c r="A68" t="str">
        <x:v>Evidence file</x:v>
      </x:c>
      <x:c r="B68" t="str">
        <x:v>SHA-256</x:v>
      </x:c>
      <x:c r="C68" t="str">
        <x:v>Role</x:v>
      </x:c>
      <x:c r="D68" t="str">
        <x:v>Location</x:v>
      </x:c>
    </x:row>
    <x:row r="69">
      <x:c r="A69" t="str">
        <x:v>Evidenze peso e calcoli.xlsx</x:v>
      </x:c>
      <x:c r="B69" t="str">
        <x:v>a3b1fc77e9d9b4d49b22714d9adae554e33155379f7c88815c30cfbdffda76a3</x:v>
      </x:c>
      <x:c r="C69" t="str">
        <x:v>CURRENT</x:v>
      </x:c>
      <x:c r="D69" t="str">
        <x:v>09_Logs/Validation_Reports/REV01_FIX_Physical_Properties_2026-10-31/input/Evidenze peso e calcoli.xlsx</x:v>
      </x:c>
    </x:row>
    <x:row r="70">
      <x:c r="A70" t="str">
        <x:v>PESO REALE DEL ROBOT AL 30_10_2026.docx</x:v>
      </x:c>
      <x:c r="B70" t="str">
        <x:v>9eda346ccf028afab08fac93ebca437d3414376b8ea3317508fdbde399c16b09</x:v>
      </x:c>
      <x:c r="C70" t="str">
        <x:v>CURRENT</x:v>
      </x:c>
      <x:c r="D70" t="str">
        <x:v>09_Logs/Validation_Reports/REV01_FIX_Physical_Properties_2026-10-31/input/PESO REALE DEL ROBOT AL 30_10_2026.docx</x:v>
      </x:c>
    </x:row>
    <x:row r="71">
      <x:c r="A71" t="str">
        <x:v>base_link__physprop.txt</x:v>
      </x:c>
      <x:c r="B71" t="str">
        <x:v>5aac79cfb3f1ecd0ad2be7f4a789e76b44b348e8c5bd28c9a4b9c809e3e489a0</x:v>
      </x:c>
      <x:c r="C71" t="str">
        <x:v>CURRENT</x:v>
      </x:c>
      <x:c r="D71" t="str">
        <x:v>09_Logs/Validation_Reports/REV01_FIX_Physical_Properties_2026-10-31/input/base_link__physprop.txt</x:v>
      </x:c>
    </x:row>
    <x:row r="72">
      <x:c r="A72" t="str">
        <x:v>matdog_urdf_assembly__physprop.txt</x:v>
      </x:c>
      <x:c r="B72" t="str">
        <x:v>cc3bc10bfd358d77d937cd4590574b75bb8fb6cdcef4329073f3a0efb7c0c53c</x:v>
      </x:c>
      <x:c r="C72" t="str">
        <x:v>CURRENT</x:v>
      </x:c>
      <x:c r="D72" t="str">
        <x:v>09_Logs/Validation_Reports/REV01_FIX_Physical_Properties_2026-10-31/input/matdog_urdf_assembly__physprop.txt</x:v>
      </x:c>
    </x:row>
    <x:row r="73">
      <x:c r="A73" t="str">
        <x:v>lf_hip_link__physprop.txt</x:v>
      </x:c>
      <x:c r="B73" t="str">
        <x:v>79b12a9aaccc08979f0640053c362a75ee953223bf83ca9490be052f3a2354f5</x:v>
      </x:c>
      <x:c r="C73" t="str">
        <x:v>CURRENT</x:v>
      </x:c>
      <x:c r="D73" t="str">
        <x:v>09_Logs/Validation_Reports/REV01_FIX_Physical_Properties_2026-10-31/input/lf_hip_link__physprop.txt</x:v>
      </x:c>
    </x:row>
    <x:row r="74">
      <x:c r="A74" t="str">
        <x:v>lf_upper_leg_link__physprop.txt</x:v>
      </x:c>
      <x:c r="B74" t="str">
        <x:v>70cc00fcafe6d370dfdacc68f9d9437646ae3356e532fc9e7f364ac07749c597</x:v>
      </x:c>
      <x:c r="C74" t="str">
        <x:v>CURRENT</x:v>
      </x:c>
      <x:c r="D74" t="str">
        <x:v>09_Logs/Validation_Reports/REV01_FIX_Physical_Properties_2026-10-31/input/lf_upper_leg_link__physprop.txt</x:v>
      </x:c>
    </x:row>
    <x:row r="75">
      <x:c r="A75" t="str">
        <x:v>lf_lower_leg_link__physprop.txt</x:v>
      </x:c>
      <x:c r="B75" t="str">
        <x:v>039eeb8b54c65f1a63d119438277ecea01a89b0ceaed86af02ed96f7963381b5</x:v>
      </x:c>
      <x:c r="C75" t="str">
        <x:v>CURRENT</x:v>
      </x:c>
      <x:c r="D75" t="str">
        <x:v>09_Logs/Validation_Reports/REV01_FIX_Physical_Properties_2026-10-31/input/lf_lower_leg_link__physprop.txt</x:v>
      </x:c>
    </x:row>
    <x:row r="76">
      <x:c r="A76" t="str">
        <x:v>lf_foot_link__physprop.txt</x:v>
      </x:c>
      <x:c r="B76" t="str">
        <x:v>cd976bbcde4d48d2b3628fe59017be7ff68a23cce938551b20941a3678ca67fd</x:v>
      </x:c>
      <x:c r="C76" t="str">
        <x:v>CURRENT</x:v>
      </x:c>
      <x:c r="D76" t="str">
        <x:v>09_Logs/Validation_Reports/REV01_FIX_Physical_Properties_2026-10-31/input/lf_foot_link__physprop.txt</x:v>
      </x:c>
    </x:row>
    <x:row r="77">
      <x:c r="A77" t="str">
        <x:v>Coordinate_Cinematiche_matt_robodog_rev00.xlsx (before the 2026-10-31 update)</x:v>
      </x:c>
      <x:c r="B77" t="str">
        <x:v>381675b4c4fae0305ed2a2e882c0b9b43f513d9f0e53afff41e60801d798b13f</x:v>
      </x:c>
      <x:c r="C77" t="str">
        <x:v>HISTORICAL (Git)</x:v>
      </x:c>
      <x:c r="D77" t="str">
        <x:v>git show 0f8f7ff:03_CAD/URDF/matt_robodog_rev00/reference/Coordinate_Cinematiche_matt_robodog_rev00.xlsx</x:v>
      </x:c>
    </x:row>
    <x:row r="78">
      <x:c r="A78" t="str">
        <x:v>REV00 physical-property reports (physprop__*.txt, weight_breakdown_summary.txt)</x:v>
      </x:c>
      <x:c r="B78" t="str">
        <x:v>not in the repository; their values were transcribed in the superseded sheets of the previous workbook version</x:v>
      </x:c>
      <x:c r="C78" t="str">
        <x:v>HISTORICAL (Git)</x:v>
      </x:c>
      <x:c r="D78"/>
    </x:row>
    <x:row r="80">
      <x:c r="A80" t="str">
        <x:v>NOTA DI REVISIONE DEL WORKBOOK: Link_Engineering, Mesh_Transforms, Mass_Summary, URDF_Audit, Physical_Property_Method, Physical_Evidence_Log sono confluiti nelle schede rimanenti, senza cambiare la geometria o la calibrazione.</x:v>
      </x:c>
    </x:row>
  </x:sheetData>
  <x:mergeCells>
    <x:mergeCell ref="A1:H1"/>
    <x:mergeCell ref="A8:H8"/>
    <x:mergeCell ref="C9:H9"/>
    <x:mergeCell ref="C10:H10"/>
    <x:mergeCell ref="C11:H11"/>
    <x:mergeCell ref="C12:H12"/>
    <x:mergeCell ref="C13:H13"/>
    <x:mergeCell ref="C14:H14"/>
    <x:mergeCell ref="A16:H16"/>
    <x:mergeCell ref="C17:H17"/>
    <x:mergeCell ref="C18:H18"/>
    <x:mergeCell ref="C19:H19"/>
    <x:mergeCell ref="C20:H20"/>
    <x:mergeCell ref="C21:H21"/>
    <x:mergeCell ref="A23:C2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7" hidden="0" customWidth="1"/>
    <x:col min="15" max="15" width="27" hidden="0" customWidth="1"/>
    <x:col min="16" max="16" width="44" hidden="0" customWidth="1"/>
    <x:col min="17" max="17" width="24" hidden="0" customWidth="1"/>
    <x:col min="18" max="18" width="38" hidden="0" customWidth="1"/>
    <x:col min="19" max="19" width="20" hidden="0" customWidth="1"/>
    <x:col min="20" max="20" width="28" hidden="0" customWidth="1"/>
    <x:col min="21" max="21" width="72" hidden="0" customWidth="1"/>
    <x:col min="22" max="22" width="47" hidden="0" customWidth="1"/>
    <x:col min="23" max="23" width="29" hidden="0" customWidth="1"/>
  </x:cols>
  <x:sheetData>
    <x:row r="1" ht="29" customHeight="1">
      <x:c r="A1" s="437" t="str">
        <x:v>MATDOG REV01-FIX | LINK, MASSE, BARICENTRI, INERZIE E MESH — SORGENTE CANONICA</x:v>
      </x:c>
      <x:c r="B1" s="437"/>
      <x:c r="C1" s="437"/>
      <x:c r="D1" s="437"/>
      <x:c r="E1" s="437"/>
      <x:c r="F1" s="437"/>
      <x:c r="G1" s="437"/>
      <x:c r="H1" s="437"/>
      <x:c r="I1" s="437"/>
      <x:c r="J1" s="437"/>
      <x:c r="K1" s="437"/>
      <x:c r="L1" s="437"/>
      <x:c r="M1" s="437"/>
      <x:c r="N1" s="437"/>
      <x:c r="O1" s="437"/>
      <x:c r="P1" s="437"/>
      <x:c r="Q1" s="437"/>
      <x:c r="R1" s="436"/>
      <x:c r="S1" s="436"/>
      <x:c r="T1" s="436"/>
      <x:c r="U1" s="436"/>
      <x:c r="V1" s="436"/>
      <x:c r="W1" s="436"/>
    </x:row>
    <x:row r="2" ht="36" customHeight="1">
      <x:c r="A2" s="294" t="str">
        <x:v>17 link. Una riga = un link: massa, CoM, tensore al CoM, mesh e provenienza. Include Jetson nominale e 5° servo neck yaw nel base_link (nessun neck joint URDF).</x:v>
      </x:c>
      <x:c r="B2" s="294"/>
      <x:c r="C2" s="294"/>
      <x:c r="D2" s="294"/>
      <x:c r="E2" s="294"/>
      <x:c r="F2" s="294"/>
      <x:c r="G2" s="294"/>
      <x:c r="H2" s="294"/>
      <x:c r="I2" s="294"/>
      <x:c r="J2" s="294"/>
      <x:c r="K2" s="294"/>
      <x:c r="L2" s="294"/>
      <x:c r="M2" s="294"/>
      <x:c r="N2" s="294"/>
      <x:c r="O2" s="294"/>
      <x:c r="P2" s="294"/>
      <x:c r="Q2" s="294"/>
    </x:row>
    <x:row r="4" ht="42" customHeight="1">
      <x:c r="A4" s="427" t="str">
        <x:v>Link</x:v>
      </x:c>
      <x:c r="B4" s="427" t="str">
        <x:v>Leg</x:v>
      </x:c>
      <x:c r="C4" s="427" t="str">
        <x:v>CAD subassembly</x:v>
      </x:c>
      <x:c r="D4" s="427" t="str">
        <x:v>Mass
[kg]</x:v>
      </x:c>
      <x:c r="E4" s="427" t="str">
        <x:v>CoM X
[m]</x:v>
      </x:c>
      <x:c r="F4" s="427" t="str">
        <x:v>CoM Y
[m]</x:v>
      </x:c>
      <x:c r="G4" s="427" t="str">
        <x:v>CoM Z
[m]</x:v>
      </x:c>
      <x:c r="H4" s="427" t="str">
        <x:v>Ixx
[kg·m²]</x:v>
      </x:c>
      <x:c r="I4" s="427" t="str">
        <x:v>Ixy
[kg·m²]</x:v>
      </x:c>
      <x:c r="J4" s="427" t="str">
        <x:v>Ixz
[kg·m²]</x:v>
      </x:c>
      <x:c r="K4" s="427" t="str">
        <x:v>Iyy
[kg·m²]</x:v>
      </x:c>
      <x:c r="L4" s="427" t="str">
        <x:v>Iyz
[kg·m²]</x:v>
      </x:c>
      <x:c r="M4" s="427" t="str">
        <x:v>Izz
[kg·m²]</x:v>
      </x:c>
      <x:c r="N4" s="427" t="str">
        <x:v>Evidence</x:v>
      </x:c>
      <x:c r="O4" s="427" t="str">
        <x:v>Derivation / symmetry rule</x:v>
      </x:c>
      <x:c r="P4" s="427" t="str">
        <x:v>Source files</x:v>
      </x:c>
      <x:c r="Q4" s="427" t="str">
        <x:v>URDF state</x:v>
      </x:c>
      <x:c r="R4" s="426" t="str">
        <x:v>Mesh canonica (visual=collision)</x:v>
      </x:c>
      <x:c r="S4" s="426" t="str">
        <x:v>Scala STL→URDF</x:v>
      </x:c>
      <x:c r="T4" s="426" t="str">
        <x:v>Gruppo / contenuto</x:v>
      </x:c>
      <x:c r="U4" s="426" t="str">
        <x:v>Allocazione cavetti / fasteners</x:v>
      </x:c>
      <x:c r="V4" s="426" t="str">
        <x:v>Provenienza CAD</x:v>
      </x:c>
      <x:c r="W4" s="426" t="str">
        <x:v>Stato / frame</x:v>
      </x:c>
    </x:row>
    <x:row r="5" ht="40" customHeight="1">
      <x:c r="A5" s="301" t="str">
        <x:v>base_link</x:v>
      </x:c>
      <x:c r="B5" s="301" t="str">
        <x:v>Body</x:v>
      </x:c>
      <x:c r="C5" s="301" t="str">
        <x:v>Base assembly</x:v>
      </x:c>
      <x:c r="D5" s="303">
        <x:v>1.828</x:v>
      </x:c>
      <x:c r="E5" s="303">
        <x:v>-0.00693</x:v>
      </x:c>
      <x:c r="F5" s="303">
        <x:v>-0.00044</x:v>
      </x:c>
      <x:c r="G5" s="303">
        <x:v>0.03657</x:v>
      </x:c>
      <x:c r="H5" s="302">
        <x:v>0.0018854712506707848</x:v>
      </x:c>
      <x:c r="I5" s="302">
        <x:v>-1.4261469087260915e-05</x:v>
      </x:c>
      <x:c r="J5" s="302">
        <x:v>-0.0002559907740315669</x:v>
      </x:c>
      <x:c r="K5" s="302">
        <x:v>0.013608332574946251</x:v>
      </x:c>
      <x:c r="L5" s="302">
        <x:v>-1.159821782422323e-05</x:v>
      </x:c>
      <x:c r="M5" s="302">
        <x:v>0.014054012486782997</x:v>
      </x:c>
      <x:c r="N5" s="301" t="str">
        <x:v>DIRECT CAD</x:v>
      </x:c>
      <x:c r="O5" s="301" t="str">
        <x:v>CAD direct: principal axes + radii of gyration</x:v>
      </x:c>
      <x:c r="P5" s="301" t="str">
        <x:v>base_link__physprop.txt (Solid Edge 2026-10-30)</x:v>
      </x:c>
      <x:c r="Q5" s="301" t="str">
        <x:v>URDF &lt;inertial&gt; updated 2026-10-31</x:v>
      </x:c>
      <x:c r="R5" t="str">
        <x:v>meshes/collision/base_link.stl</x:v>
      </x:c>
      <x:c r="S5" t="str">
        <x:v>0.001 0.001 0.001</x:v>
      </x:c>
      <x:c r="T5" t="str">
        <x:v>CAD physical-property subassembly</x:v>
      </x:c>
      <x:c r="U5" s="156" t="str">
        <x:v>Comprende 5 motori, incluso neck yaw NON modellato come joint; Jetson inclusa nel CAD nominale.</x:v>
      </x:c>
      <x:c r="V5" t="str">
        <x:v>base_link__physprop.txt (Solid Edge 2026-10-30)</x:v>
      </x:c>
      <x:c r="W5" t="str">
        <x:v>Origin visual/collision = (0,0,0), RPY=(0,0,0); STL mm</x:v>
      </x:c>
    </x:row>
    <x:row r="6" ht="40" customHeight="1">
      <x:c r="A6" s="301" t="str">
        <x:v>lf_hip_link</x:v>
      </x:c>
      <x:c r="B6" s="301" t="str">
        <x:v>LF</x:v>
      </x:c>
      <x:c r="C6" s="301" t="str">
        <x:v>Hip subassembly</x:v>
      </x:c>
      <x:c r="D6" s="303">
        <x:v>0.05</x:v>
      </x:c>
      <x:c r="E6" s="303">
        <x:v>0.00366</x:v>
      </x:c>
      <x:c r="F6" s="303">
        <x:v>0.02982</x:v>
      </x:c>
      <x:c r="G6" s="303">
        <x:v>0.00694</x:v>
      </x:c>
      <x:c r="H6" s="302">
        <x:v>4.022523475913449e-05</x:v>
      </x:c>
      <x:c r="I6" s="302">
        <x:v>-1.3146276892716857e-06</x:v>
      </x:c>
      <x:c r="J6" s="302">
        <x:v>-1.1395371633858386e-06</x:v>
      </x:c>
      <x:c r="K6" s="302">
        <x:v>1.8958128496012147e-05</x:v>
      </x:c>
      <x:c r="L6" s="302">
        <x:v>-4.464006700211402e-06</x:v>
      </x:c>
      <x:c r="M6" s="302">
        <x:v>4.542808674485334e-05</x:v>
      </x:c>
      <x:c r="N6" s="301" t="str">
        <x:v>DIRECT CAD</x:v>
      </x:c>
      <x:c r="O6" s="301" t="str">
        <x:v>CAD direct: principal axes + radii of gyration</x:v>
      </x:c>
      <x:c r="P6" s="301" t="str">
        <x:v>lf_hip_link__physprop.txt (Solid Edge 2026-10-30)</x:v>
      </x:c>
      <x:c r="Q6" s="301" t="str">
        <x:v>URDF &lt;inertial&gt; updated 2026-10-31</x:v>
      </x:c>
      <x:c r="R6" t="str">
        <x:v>meshes/collision/lf_hip_link.stl</x:v>
      </x:c>
      <x:c r="S6" t="str">
        <x:v>0.001 0.001 0.001</x:v>
      </x:c>
      <x:c r="T6" t="str">
        <x:v>CAD physical-property subassembly</x:v>
      </x:c>
      <x:c r="U6" s="156" t="str">
        <x:v>Nessuna allocazione aggiuntiva dei 4 g: i cavetti appartengono all'upper leg.</x:v>
      </x:c>
      <x:c r="V6" t="str">
        <x:v>lf_hip_link__physprop.txt (Solid Edge 2026-10-30)</x:v>
      </x:c>
      <x:c r="W6" t="str">
        <x:v>Origin visual/collision = (0,0,0), RPY=(0,0,0); STL mm</x:v>
      </x:c>
    </x:row>
    <x:row r="7" ht="40" customHeight="1">
      <x:c r="A7" s="301" t="str">
        <x:v>lf_upper_leg_link</x:v>
      </x:c>
      <x:c r="B7" s="301" t="str">
        <x:v>LF</x:v>
      </x:c>
      <x:c r="C7" s="301" t="str">
        <x:v>Upper-leg subassembly</x:v>
      </x:c>
      <x:c r="D7" s="303">
        <x:v>0.152</x:v>
      </x:c>
      <x:c r="E7" s="303">
        <x:v>0.00122</x:v>
      </x:c>
      <x:c r="F7" s="303">
        <x:v>0.00014</x:v>
      </x:c>
      <x:c r="G7" s="303">
        <x:v>-0.04503</x:v>
      </x:c>
      <x:c r="H7" s="302">
        <x:v>0.0001793475307052647</x:v>
      </x:c>
      <x:c r="I7" s="302">
        <x:v>-6.26631577579123e-08</x:v>
      </x:c>
      <x:c r="J7" s="302">
        <x:v>0</x:v>
      </x:c>
      <x:c r="K7" s="302">
        <x:v>0.0001736515692947353</x:v>
      </x:c>
      <x:c r="L7" s="302">
        <x:v>0</x:v>
      </x:c>
      <x:c r="M7" s="302">
        <x:v>2.8445644799999997e-05</x:v>
      </x:c>
      <x:c r="N7" s="301" t="str">
        <x:v>DIRECT CAD</x:v>
      </x:c>
      <x:c r="O7" s="301" t="str">
        <x:v>CAD direct: principal axes + radii of gyration</x:v>
      </x:c>
      <x:c r="P7" s="301" t="str">
        <x:v>lf_upper_leg_link__physprop.txt (Solid Edge 2026-10-30)</x:v>
      </x:c>
      <x:c r="Q7" s="301" t="str">
        <x:v>URDF &lt;inertial&gt; updated 2026-10-31</x:v>
      </x:c>
      <x:c r="R7" t="str">
        <x:v>meshes/collision/lf_upper_leg_link.stl</x:v>
      </x:c>
      <x:c r="S7" t="str">
        <x:v>0.001 0.001 0.001</x:v>
      </x:c>
      <x:c r="T7" t="str">
        <x:v>CAD physical-property subassembly</x:v>
      </x:c>
      <x:c r="U7" s="156" t="str">
        <x:v>Due cavetti interni; ≈4 g per upper leg (stima operatore). Già inclusi nella massa CAD; NON sommare.</x:v>
      </x:c>
      <x:c r="V7" t="str">
        <x:v>lf_upper_leg_link__physprop.txt (Solid Edge 2026-10-30)</x:v>
      </x:c>
      <x:c r="W7" t="str">
        <x:v>Origin visual/collision = (0,0,0), RPY=(0,0,0); STL mm</x:v>
      </x:c>
    </x:row>
    <x:row r="8" ht="40" customHeight="1">
      <x:c r="A8" s="301" t="str">
        <x:v>lf_lower_leg_link</x:v>
      </x:c>
      <x:c r="B8" s="301" t="str">
        <x:v>LF</x:v>
      </x:c>
      <x:c r="C8" s="301" t="str">
        <x:v>Lower-leg subassembly</x:v>
      </x:c>
      <x:c r="D8" s="303">
        <x:v>0.059</x:v>
      </x:c>
      <x:c r="E8" s="303">
        <x:v>0.03075</x:v>
      </x:c>
      <x:c r="F8" s="303">
        <x:v>-0.00118</x:v>
      </x:c>
      <x:c r="G8" s="303">
        <x:v>-0.01958</x:v>
      </x:c>
      <x:c r="H8" s="302">
        <x:v>2.1336446929790997e-05</x:v>
      </x:c>
      <x:c r="I8" s="302">
        <x:v>6.041799841230725e-07</x:v>
      </x:c>
      <x:c r="J8" s="302">
        <x:v>1.6688800623674613e-05</x:v>
      </x:c>
      <x:c r="K8" s="302">
        <x:v>0.00010166845570177805</x:v>
      </x:c>
      <x:c r="L8" s="302">
        <x:v>-3.688275776795085e-07</x:v>
      </x:c>
      <x:c r="M8" s="302">
        <x:v>0.00010344482636843086</x:v>
      </x:c>
      <x:c r="N8" s="301" t="str">
        <x:v>DIRECT CAD</x:v>
      </x:c>
      <x:c r="O8" s="301" t="str">
        <x:v>CAD direct: principal axes + radii of gyration</x:v>
      </x:c>
      <x:c r="P8" s="301" t="str">
        <x:v>lf_lower_leg_link__physprop.txt (Solid Edge 2026-10-30)</x:v>
      </x:c>
      <x:c r="Q8" s="301" t="str">
        <x:v>URDF &lt;inertial&gt; updated 2026-10-31</x:v>
      </x:c>
      <x:c r="R8" t="str">
        <x:v>meshes/collision/lf_lower_leg_link.stl</x:v>
      </x:c>
      <x:c r="S8" t="str">
        <x:v>0.001 0.001 0.001</x:v>
      </x:c>
      <x:c r="T8" t="str">
        <x:v>CAD physical-property subassembly</x:v>
      </x:c>
      <x:c r="U8" s="156" t="str">
        <x:v>Nessun trasferimento di massa dal link CAD.</x:v>
      </x:c>
      <x:c r="V8" t="str">
        <x:v>lf_lower_leg_link__physprop.txt (Solid Edge 2026-10-30)</x:v>
      </x:c>
      <x:c r="W8" t="str">
        <x:v>Origin visual/collision = (0,0,0), RPY=(0,0,0); STL mm</x:v>
      </x:c>
    </x:row>
    <x:row r="9" ht="40" customHeight="1">
      <x:c r="A9" s="301" t="str">
        <x:v>lf_foot_link</x:v>
      </x:c>
      <x:c r="B9" s="301" t="str">
        <x:v>LF</x:v>
      </x:c>
      <x:c r="C9" s="301" t="str">
        <x:v>Foot subassembly</x:v>
      </x:c>
      <x:c r="D9" s="303">
        <x:v>0.014</x:v>
      </x:c>
      <x:c r="E9" s="303">
        <x:v>-0.00074</x:v>
      </x:c>
      <x:c r="F9" s="303">
        <x:v>0</x:v>
      </x:c>
      <x:c r="G9" s="303">
        <x:v>0.01572</x:v>
      </x:c>
      <x:c r="H9" s="302">
        <x:v>8.920990589937979e-07</x:v>
      </x:c>
      <x:c r="I9" s="302">
        <x:v>0</x:v>
      </x:c>
      <x:c r="J9" s="302">
        <x:v>-5.562092867964478e-09</x:v>
      </x:c>
      <x:c r="K9" s="302">
        <x:v>8.430463999999999e-07</x:v>
      </x:c>
      <x:c r="L9" s="302">
        <x:v>0</x:v>
      </x:c>
      <x:c r="M9" s="302">
        <x:v>8.932047410062023e-07</x:v>
      </x:c>
      <x:c r="N9" s="301" t="str">
        <x:v>DIRECT CAD</x:v>
      </x:c>
      <x:c r="O9" s="301" t="str">
        <x:v>CAD direct: principal axes + radii of gyration</x:v>
      </x:c>
      <x:c r="P9" s="301" t="str">
        <x:v>lf_foot_link__physprop.txt (Solid Edge 2026-10-30)</x:v>
      </x:c>
      <x:c r="Q9" s="301" t="str">
        <x:v>URDF &lt;inertial&gt; updated 2026-10-31</x:v>
      </x:c>
      <x:c r="R9" t="str">
        <x:v>meshes/collision/lf_foot_link.stl</x:v>
      </x:c>
      <x:c r="S9" t="str">
        <x:v>0.001 0.001 0.001</x:v>
      </x:c>
      <x:c r="T9" t="str">
        <x:v>CAD physical-property subassembly</x:v>
      </x:c>
      <x:c r="U9" s="156" t="str">
        <x:v>Nessun trasferimento di massa dal link CAD.</x:v>
      </x:c>
      <x:c r="V9" t="str">
        <x:v>lf_foot_link__physprop.txt (Solid Edge 2026-10-30)</x:v>
      </x:c>
      <x:c r="W9" t="str">
        <x:v>Origin visual/collision = (0,0,0), RPY=(0,0,0); STL mm</x:v>
      </x:c>
    </x:row>
    <x:row r="10" ht="40" customHeight="1">
      <x:c r="A10" s="301" t="str">
        <x:v>rf_hip_link</x:v>
      </x:c>
      <x:c r="B10" s="301" t="str">
        <x:v>RF</x:v>
      </x:c>
      <x:c r="C10" s="301" t="str">
        <x:v>Hip subassembly</x:v>
      </x:c>
      <x:c r="D10" s="303">
        <x:v>0.05</x:v>
      </x:c>
      <x:c r="E10" s="303">
        <x:v>0.00366</x:v>
      </x:c>
      <x:c r="F10" s="303">
        <x:v>-0.02982</x:v>
      </x:c>
      <x:c r="G10" s="303">
        <x:v>0.00694</x:v>
      </x:c>
      <x:c r="H10" s="302">
        <x:v>4.022523475913449e-05</x:v>
      </x:c>
      <x:c r="I10" s="302">
        <x:v>1.3146276892716857e-06</x:v>
      </x:c>
      <x:c r="J10" s="302">
        <x:v>-1.1395371633858386e-06</x:v>
      </x:c>
      <x:c r="K10" s="302">
        <x:v>1.8958128496012147e-05</x:v>
      </x:c>
      <x:c r="L10" s="302">
        <x:v>4.464006700211402e-06</x:v>
      </x:c>
      <x:c r="M10" s="302">
        <x:v>4.542808674485334e-05</x:v>
      </x:c>
      <x:c r="N10" s="301" t="str">
        <x:v>DERIVED BY SYMMETRY</x:v>
      </x:c>
      <x:c r="O10" s="301" t="str">
        <x:v>CAD symmetry-derived from LF: Y reflection of LF</x:v>
      </x:c>
      <x:c r="P10" s="301" t="str">
        <x:v>lf_hip_link__physprop.txt (Solid Edge 2026-10-30)</x:v>
      </x:c>
      <x:c r="Q10" s="301" t="str">
        <x:v>URDF &lt;inertial&gt; updated 2026-10-31</x:v>
      </x:c>
      <x:c r="R10" t="str">
        <x:v>meshes/collision/rf_hip_link.stl</x:v>
      </x:c>
      <x:c r="S10" t="str">
        <x:v>0.001 0.001 0.001</x:v>
      </x:c>
      <x:c r="T10" t="str">
        <x:v>CAD physical-property subassembly</x:v>
      </x:c>
      <x:c r="U10" s="156" t="str">
        <x:v>Nessuna allocazione aggiuntiva dei 4 g: i cavetti appartengono all'upper leg.</x:v>
      </x:c>
      <x:c r="V10" t="str">
        <x:v>lf_hip_link__physprop.txt (Solid Edge 2026-10-30)</x:v>
      </x:c>
      <x:c r="W10" t="str">
        <x:v>Origin visual/collision = (0,0,0), RPY=(0,0,0); STL mm</x:v>
      </x:c>
    </x:row>
    <x:row r="11" ht="40" customHeight="1">
      <x:c r="A11" s="301" t="str">
        <x:v>rf_upper_leg_link</x:v>
      </x:c>
      <x:c r="B11" s="301" t="str">
        <x:v>RF</x:v>
      </x:c>
      <x:c r="C11" s="301" t="str">
        <x:v>Upper-leg subassembly</x:v>
      </x:c>
      <x:c r="D11" s="303">
        <x:v>0.152</x:v>
      </x:c>
      <x:c r="E11" s="303">
        <x:v>0.00122</x:v>
      </x:c>
      <x:c r="F11" s="303">
        <x:v>-0.00014</x:v>
      </x:c>
      <x:c r="G11" s="303">
        <x:v>-0.04503</x:v>
      </x:c>
      <x:c r="H11" s="302">
        <x:v>0.0001793475307052647</x:v>
      </x:c>
      <x:c r="I11" s="302">
        <x:v>6.26631577579123e-08</x:v>
      </x:c>
      <x:c r="J11" s="302">
        <x:v>0</x:v>
      </x:c>
      <x:c r="K11" s="302">
        <x:v>0.0001736515692947353</x:v>
      </x:c>
      <x:c r="L11" s="302">
        <x:v>0</x:v>
      </x:c>
      <x:c r="M11" s="302">
        <x:v>2.8445644799999997e-05</x:v>
      </x:c>
      <x:c r="N11" s="301" t="str">
        <x:v>DERIVED BY SYMMETRY</x:v>
      </x:c>
      <x:c r="O11" s="301" t="str">
        <x:v>CAD symmetry-derived from LF: Y reflection of LF</x:v>
      </x:c>
      <x:c r="P11" s="301" t="str">
        <x:v>lf_upper_leg_link__physprop.txt (Solid Edge 2026-10-30)</x:v>
      </x:c>
      <x:c r="Q11" s="301" t="str">
        <x:v>URDF &lt;inertial&gt; updated 2026-10-31</x:v>
      </x:c>
      <x:c r="R11" t="str">
        <x:v>meshes/collision/rf_upper_leg_link.stl</x:v>
      </x:c>
      <x:c r="S11" t="str">
        <x:v>0.001 0.001 0.001</x:v>
      </x:c>
      <x:c r="T11" t="str">
        <x:v>CAD physical-property subassembly</x:v>
      </x:c>
      <x:c r="U11" s="156" t="str">
        <x:v>Due cavetti interni; ≈4 g per upper leg (stima operatore). Già inclusi nella massa CAD; NON sommare.</x:v>
      </x:c>
      <x:c r="V11" t="str">
        <x:v>lf_upper_leg_link__physprop.txt (Solid Edge 2026-10-30)</x:v>
      </x:c>
      <x:c r="W11" t="str">
        <x:v>Origin visual/collision = (0,0,0), RPY=(0,0,0); STL mm</x:v>
      </x:c>
    </x:row>
    <x:row r="12" ht="40" customHeight="1">
      <x:c r="A12" s="301" t="str">
        <x:v>rf_lower_leg_link</x:v>
      </x:c>
      <x:c r="B12" s="301" t="str">
        <x:v>RF</x:v>
      </x:c>
      <x:c r="C12" s="301" t="str">
        <x:v>Lower-leg subassembly</x:v>
      </x:c>
      <x:c r="D12" s="303">
        <x:v>0.059</x:v>
      </x:c>
      <x:c r="E12" s="303">
        <x:v>0.03075</x:v>
      </x:c>
      <x:c r="F12" s="303">
        <x:v>0.00118</x:v>
      </x:c>
      <x:c r="G12" s="303">
        <x:v>-0.01958</x:v>
      </x:c>
      <x:c r="H12" s="302">
        <x:v>2.1336446929790997e-05</x:v>
      </x:c>
      <x:c r="I12" s="302">
        <x:v>-6.041799841230725e-07</x:v>
      </x:c>
      <x:c r="J12" s="302">
        <x:v>1.6688800623674613e-05</x:v>
      </x:c>
      <x:c r="K12" s="302">
        <x:v>0.00010166845570177805</x:v>
      </x:c>
      <x:c r="L12" s="302">
        <x:v>3.688275776795085e-07</x:v>
      </x:c>
      <x:c r="M12" s="302">
        <x:v>0.00010344482636843086</x:v>
      </x:c>
      <x:c r="N12" s="301" t="str">
        <x:v>DERIVED BY SYMMETRY</x:v>
      </x:c>
      <x:c r="O12" s="301" t="str">
        <x:v>CAD symmetry-derived from LF: Y reflection of LF</x:v>
      </x:c>
      <x:c r="P12" s="301" t="str">
        <x:v>lf_lower_leg_link__physprop.txt (Solid Edge 2026-10-30)</x:v>
      </x:c>
      <x:c r="Q12" s="301" t="str">
        <x:v>URDF &lt;inertial&gt; updated 2026-10-31</x:v>
      </x:c>
      <x:c r="R12" t="str">
        <x:v>meshes/collision/rf_lower_leg_link.stl</x:v>
      </x:c>
      <x:c r="S12" t="str">
        <x:v>0.001 0.001 0.001</x:v>
      </x:c>
      <x:c r="T12" t="str">
        <x:v>CAD physical-property subassembly</x:v>
      </x:c>
      <x:c r="U12" s="156" t="str">
        <x:v>Nessun trasferimento di massa dal link CAD.</x:v>
      </x:c>
      <x:c r="V12" t="str">
        <x:v>lf_lower_leg_link__physprop.txt (Solid Edge 2026-10-30)</x:v>
      </x:c>
      <x:c r="W12" t="str">
        <x:v>Origin visual/collision = (0,0,0), RPY=(0,0,0); STL mm</x:v>
      </x:c>
    </x:row>
    <x:row r="13" ht="40" customHeight="1">
      <x:c r="A13" s="301" t="str">
        <x:v>rf_foot_link</x:v>
      </x:c>
      <x:c r="B13" s="301" t="str">
        <x:v>RF</x:v>
      </x:c>
      <x:c r="C13" s="301" t="str">
        <x:v>Foot subassembly</x:v>
      </x:c>
      <x:c r="D13" s="303">
        <x:v>0.014</x:v>
      </x:c>
      <x:c r="E13" s="303">
        <x:v>-0.00074</x:v>
      </x:c>
      <x:c r="F13" s="303">
        <x:v>0</x:v>
      </x:c>
      <x:c r="G13" s="303">
        <x:v>0.01572</x:v>
      </x:c>
      <x:c r="H13" s="302">
        <x:v>8.920990589937979e-07</x:v>
      </x:c>
      <x:c r="I13" s="302">
        <x:v>0</x:v>
      </x:c>
      <x:c r="J13" s="302">
        <x:v>-5.562092867964478e-09</x:v>
      </x:c>
      <x:c r="K13" s="302">
        <x:v>8.430463999999999e-07</x:v>
      </x:c>
      <x:c r="L13" s="302">
        <x:v>0</x:v>
      </x:c>
      <x:c r="M13" s="302">
        <x:v>8.932047410062023e-07</x:v>
      </x:c>
      <x:c r="N13" s="301" t="str">
        <x:v>DERIVED BY SYMMETRY</x:v>
      </x:c>
      <x:c r="O13" s="301" t="str">
        <x:v>CAD symmetry-derived from LF: identical foot geometry (LF copied)</x:v>
      </x:c>
      <x:c r="P13" s="301" t="str">
        <x:v>lf_foot_link__physprop.txt (Solid Edge 2026-10-30)</x:v>
      </x:c>
      <x:c r="Q13" s="301" t="str">
        <x:v>URDF &lt;inertial&gt; updated 2026-10-31</x:v>
      </x:c>
      <x:c r="R13" t="str">
        <x:v>meshes/collision/rf_foot_link.stl</x:v>
      </x:c>
      <x:c r="S13" t="str">
        <x:v>0.001 0.001 0.001</x:v>
      </x:c>
      <x:c r="T13" t="str">
        <x:v>CAD physical-property subassembly</x:v>
      </x:c>
      <x:c r="U13" s="156" t="str">
        <x:v>Nessun trasferimento di massa dal link CAD.</x:v>
      </x:c>
      <x:c r="V13" t="str">
        <x:v>lf_foot_link__physprop.txt (Solid Edge 2026-10-30)</x:v>
      </x:c>
      <x:c r="W13" t="str">
        <x:v>Origin visual/collision = (0,0,0), RPY=(0,0,0); STL mm</x:v>
      </x:c>
    </x:row>
    <x:row r="14" ht="40" customHeight="1">
      <x:c r="A14" s="301" t="str">
        <x:v>rh_hip_link</x:v>
      </x:c>
      <x:c r="B14" s="301" t="str">
        <x:v>RH</x:v>
      </x:c>
      <x:c r="C14" s="301" t="str">
        <x:v>Hip subassembly</x:v>
      </x:c>
      <x:c r="D14" s="303">
        <x:v>0.05</x:v>
      </x:c>
      <x:c r="E14" s="303">
        <x:v>0.00366</x:v>
      </x:c>
      <x:c r="F14" s="303">
        <x:v>-0.02982</x:v>
      </x:c>
      <x:c r="G14" s="303">
        <x:v>0.00694</x:v>
      </x:c>
      <x:c r="H14" s="302">
        <x:v>4.022523475913449e-05</x:v>
      </x:c>
      <x:c r="I14" s="302">
        <x:v>1.3146276892716857e-06</x:v>
      </x:c>
      <x:c r="J14" s="302">
        <x:v>-1.1395371633858386e-06</x:v>
      </x:c>
      <x:c r="K14" s="302">
        <x:v>1.8958128496012147e-05</x:v>
      </x:c>
      <x:c r="L14" s="302">
        <x:v>4.464006700211402e-06</x:v>
      </x:c>
      <x:c r="M14" s="302">
        <x:v>4.542808674485334e-05</x:v>
      </x:c>
      <x:c r="N14" s="301" t="str">
        <x:v>DERIVED BY SYMMETRY</x:v>
      </x:c>
      <x:c r="O14" s="301" t="str">
        <x:v>CAD symmetry-derived from LF: Y reflection of LF (rear hip mesh differs from LF by 0.21 mm CoM / 0.8 % inertia: mesh estimate, not CAD)</x:v>
      </x:c>
      <x:c r="P14" s="301" t="str">
        <x:v>lf_hip_link__physprop.txt (Solid Edge 2026-10-30)</x:v>
      </x:c>
      <x:c r="Q14" s="301" t="str">
        <x:v>URDF &lt;inertial&gt; updated 2026-10-31</x:v>
      </x:c>
      <x:c r="R14" t="str">
        <x:v>meshes/collision/rh_hip_link.stl</x:v>
      </x:c>
      <x:c r="S14" t="str">
        <x:v>0.001 0.001 0.001</x:v>
      </x:c>
      <x:c r="T14" t="str">
        <x:v>CAD physical-property subassembly</x:v>
      </x:c>
      <x:c r="U14" s="156" t="str">
        <x:v>Nessuna allocazione aggiuntiva dei 4 g: i cavetti appartengono all'upper leg.</x:v>
      </x:c>
      <x:c r="V14" t="str">
        <x:v>lf_hip_link__physprop.txt (Solid Edge 2026-10-30)</x:v>
      </x:c>
      <x:c r="W14" t="str">
        <x:v>Origin visual/collision = (0,0,0), RPY=(0,0,0); STL mm</x:v>
      </x:c>
    </x:row>
    <x:row r="15" ht="40" customHeight="1">
      <x:c r="A15" s="301" t="str">
        <x:v>rh_upper_leg_link</x:v>
      </x:c>
      <x:c r="B15" s="301" t="str">
        <x:v>RH</x:v>
      </x:c>
      <x:c r="C15" s="301" t="str">
        <x:v>Upper-leg subassembly</x:v>
      </x:c>
      <x:c r="D15" s="303">
        <x:v>0.152</x:v>
      </x:c>
      <x:c r="E15" s="303">
        <x:v>0.00122</x:v>
      </x:c>
      <x:c r="F15" s="303">
        <x:v>-0.00014</x:v>
      </x:c>
      <x:c r="G15" s="303">
        <x:v>-0.04503</x:v>
      </x:c>
      <x:c r="H15" s="302">
        <x:v>0.0001793475307052647</x:v>
      </x:c>
      <x:c r="I15" s="302">
        <x:v>6.26631577579123e-08</x:v>
      </x:c>
      <x:c r="J15" s="302">
        <x:v>0</x:v>
      </x:c>
      <x:c r="K15" s="302">
        <x:v>0.0001736515692947353</x:v>
      </x:c>
      <x:c r="L15" s="302">
        <x:v>0</x:v>
      </x:c>
      <x:c r="M15" s="302">
        <x:v>2.8445644799999997e-05</x:v>
      </x:c>
      <x:c r="N15" s="301" t="str">
        <x:v>DERIVED BY SYMMETRY</x:v>
      </x:c>
      <x:c r="O15" s="301" t="str">
        <x:v>CAD symmetry-derived from LF: Y reflection of LF</x:v>
      </x:c>
      <x:c r="P15" s="301" t="str">
        <x:v>lf_upper_leg_link__physprop.txt (Solid Edge 2026-10-30)</x:v>
      </x:c>
      <x:c r="Q15" s="301" t="str">
        <x:v>URDF &lt;inertial&gt; updated 2026-10-31</x:v>
      </x:c>
      <x:c r="R15" t="str">
        <x:v>meshes/collision/rh_upper_leg_link.stl</x:v>
      </x:c>
      <x:c r="S15" t="str">
        <x:v>0.001 0.001 0.001</x:v>
      </x:c>
      <x:c r="T15" t="str">
        <x:v>CAD physical-property subassembly</x:v>
      </x:c>
      <x:c r="U15" s="156" t="str">
        <x:v>Due cavetti interni; ≈4 g per upper leg (stima operatore). Già inclusi nella massa CAD; NON sommare.</x:v>
      </x:c>
      <x:c r="V15" t="str">
        <x:v>lf_upper_leg_link__physprop.txt (Solid Edge 2026-10-30)</x:v>
      </x:c>
      <x:c r="W15" t="str">
        <x:v>Origin visual/collision = (0,0,0), RPY=(0,0,0); STL mm</x:v>
      </x:c>
    </x:row>
    <x:row r="16" ht="40" customHeight="1">
      <x:c r="A16" s="301" t="str">
        <x:v>rh_lower_leg_link</x:v>
      </x:c>
      <x:c r="B16" s="301" t="str">
        <x:v>RH</x:v>
      </x:c>
      <x:c r="C16" s="301" t="str">
        <x:v>Lower-leg subassembly</x:v>
      </x:c>
      <x:c r="D16" s="303">
        <x:v>0.059</x:v>
      </x:c>
      <x:c r="E16" s="303">
        <x:v>0.03075</x:v>
      </x:c>
      <x:c r="F16" s="303">
        <x:v>0.00118</x:v>
      </x:c>
      <x:c r="G16" s="303">
        <x:v>-0.01958</x:v>
      </x:c>
      <x:c r="H16" s="302">
        <x:v>2.1336446929790997e-05</x:v>
      </x:c>
      <x:c r="I16" s="302">
        <x:v>-6.041799841230725e-07</x:v>
      </x:c>
      <x:c r="J16" s="302">
        <x:v>1.6688800623674613e-05</x:v>
      </x:c>
      <x:c r="K16" s="302">
        <x:v>0.00010166845570177805</x:v>
      </x:c>
      <x:c r="L16" s="302">
        <x:v>3.688275776795085e-07</x:v>
      </x:c>
      <x:c r="M16" s="302">
        <x:v>0.00010344482636843086</x:v>
      </x:c>
      <x:c r="N16" s="301" t="str">
        <x:v>DERIVED BY SYMMETRY</x:v>
      </x:c>
      <x:c r="O16" s="301" t="str">
        <x:v>CAD symmetry-derived from LF: Y reflection of LF</x:v>
      </x:c>
      <x:c r="P16" s="301" t="str">
        <x:v>lf_lower_leg_link__physprop.txt (Solid Edge 2026-10-30)</x:v>
      </x:c>
      <x:c r="Q16" s="301" t="str">
        <x:v>URDF &lt;inertial&gt; updated 2026-10-31</x:v>
      </x:c>
      <x:c r="R16" t="str">
        <x:v>meshes/collision/rh_lower_leg_link.stl</x:v>
      </x:c>
      <x:c r="S16" t="str">
        <x:v>0.001 0.001 0.001</x:v>
      </x:c>
      <x:c r="T16" t="str">
        <x:v>CAD physical-property subassembly</x:v>
      </x:c>
      <x:c r="U16" s="156" t="str">
        <x:v>Nessun trasferimento di massa dal link CAD.</x:v>
      </x:c>
      <x:c r="V16" t="str">
        <x:v>lf_lower_leg_link__physprop.txt (Solid Edge 2026-10-30)</x:v>
      </x:c>
      <x:c r="W16" t="str">
        <x:v>Origin visual/collision = (0,0,0), RPY=(0,0,0); STL mm</x:v>
      </x:c>
    </x:row>
    <x:row r="17" ht="40" customHeight="1">
      <x:c r="A17" s="301" t="str">
        <x:v>rh_foot_link</x:v>
      </x:c>
      <x:c r="B17" s="301" t="str">
        <x:v>RH</x:v>
      </x:c>
      <x:c r="C17" s="301" t="str">
        <x:v>Foot subassembly</x:v>
      </x:c>
      <x:c r="D17" s="303">
        <x:v>0.014</x:v>
      </x:c>
      <x:c r="E17" s="303">
        <x:v>-0.00074</x:v>
      </x:c>
      <x:c r="F17" s="303">
        <x:v>0</x:v>
      </x:c>
      <x:c r="G17" s="303">
        <x:v>0.01572</x:v>
      </x:c>
      <x:c r="H17" s="302">
        <x:v>8.920990589937979e-07</x:v>
      </x:c>
      <x:c r="I17" s="302">
        <x:v>0</x:v>
      </x:c>
      <x:c r="J17" s="302">
        <x:v>-5.562092867964478e-09</x:v>
      </x:c>
      <x:c r="K17" s="302">
        <x:v>8.430463999999999e-07</x:v>
      </x:c>
      <x:c r="L17" s="302">
        <x:v>0</x:v>
      </x:c>
      <x:c r="M17" s="302">
        <x:v>8.932047410062023e-07</x:v>
      </x:c>
      <x:c r="N17" s="301" t="str">
        <x:v>DERIVED BY SYMMETRY</x:v>
      </x:c>
      <x:c r="O17" s="301" t="str">
        <x:v>CAD symmetry-derived from LF: identical foot geometry (LF copied)</x:v>
      </x:c>
      <x:c r="P17" s="301" t="str">
        <x:v>lf_foot_link__physprop.txt (Solid Edge 2026-10-30)</x:v>
      </x:c>
      <x:c r="Q17" s="301" t="str">
        <x:v>URDF &lt;inertial&gt; updated 2026-10-31</x:v>
      </x:c>
      <x:c r="R17" t="str">
        <x:v>meshes/collision/rh_foot_link.stl</x:v>
      </x:c>
      <x:c r="S17" t="str">
        <x:v>0.001 0.001 0.001</x:v>
      </x:c>
      <x:c r="T17" t="str">
        <x:v>CAD physical-property subassembly</x:v>
      </x:c>
      <x:c r="U17" s="156" t="str">
        <x:v>Nessun trasferimento di massa dal link CAD.</x:v>
      </x:c>
      <x:c r="V17" t="str">
        <x:v>lf_foot_link__physprop.txt (Solid Edge 2026-10-30)</x:v>
      </x:c>
      <x:c r="W17" t="str">
        <x:v>Origin visual/collision = (0,0,0), RPY=(0,0,0); STL mm</x:v>
      </x:c>
    </x:row>
    <x:row r="18" ht="40" customHeight="1">
      <x:c r="A18" s="301" t="str">
        <x:v>lh_hip_link</x:v>
      </x:c>
      <x:c r="B18" s="301" t="str">
        <x:v>LH</x:v>
      </x:c>
      <x:c r="C18" s="301" t="str">
        <x:v>Hip subassembly</x:v>
      </x:c>
      <x:c r="D18" s="303">
        <x:v>0.05</x:v>
      </x:c>
      <x:c r="E18" s="303">
        <x:v>0.00366</x:v>
      </x:c>
      <x:c r="F18" s="303">
        <x:v>0.02982</x:v>
      </x:c>
      <x:c r="G18" s="303">
        <x:v>0.00694</x:v>
      </x:c>
      <x:c r="H18" s="302">
        <x:v>4.022523475913449e-05</x:v>
      </x:c>
      <x:c r="I18" s="302">
        <x:v>-1.3146276892716857e-06</x:v>
      </x:c>
      <x:c r="J18" s="302">
        <x:v>-1.1395371633858386e-06</x:v>
      </x:c>
      <x:c r="K18" s="302">
        <x:v>1.8958128496012147e-05</x:v>
      </x:c>
      <x:c r="L18" s="302">
        <x:v>-4.464006700211402e-06</x:v>
      </x:c>
      <x:c r="M18" s="302">
        <x:v>4.542808674485334e-05</x:v>
      </x:c>
      <x:c r="N18" s="301" t="str">
        <x:v>DERIVED BY SYMMETRY</x:v>
      </x:c>
      <x:c r="O18" s="301" t="str">
        <x:v>CAD symmetry-derived from LF: same left-side frame as LF (rear hip mesh differs from LF by 0.21 mm CoM / 0.8 % inertia: mesh estimate, not CAD)</x:v>
      </x:c>
      <x:c r="P18" s="301" t="str">
        <x:v>lf_hip_link__physprop.txt (Solid Edge 2026-10-30)</x:v>
      </x:c>
      <x:c r="Q18" s="301" t="str">
        <x:v>URDF &lt;inertial&gt; updated 2026-10-31</x:v>
      </x:c>
      <x:c r="R18" t="str">
        <x:v>meshes/collision/lh_hip_link.stl</x:v>
      </x:c>
      <x:c r="S18" t="str">
        <x:v>0.001 0.001 0.001</x:v>
      </x:c>
      <x:c r="T18" t="str">
        <x:v>CAD physical-property subassembly</x:v>
      </x:c>
      <x:c r="U18" s="156" t="str">
        <x:v>Nessuna allocazione aggiuntiva dei 4 g: i cavetti appartengono all'upper leg.</x:v>
      </x:c>
      <x:c r="V18" t="str">
        <x:v>lf_hip_link__physprop.txt (Solid Edge 2026-10-30)</x:v>
      </x:c>
      <x:c r="W18" t="str">
        <x:v>Origin visual/collision = (0,0,0), RPY=(0,0,0); STL mm</x:v>
      </x:c>
    </x:row>
    <x:row r="19" ht="40" customHeight="1">
      <x:c r="A19" s="301" t="str">
        <x:v>lh_upper_leg_link</x:v>
      </x:c>
      <x:c r="B19" s="301" t="str">
        <x:v>LH</x:v>
      </x:c>
      <x:c r="C19" s="301" t="str">
        <x:v>Upper-leg subassembly</x:v>
      </x:c>
      <x:c r="D19" s="303">
        <x:v>0.152</x:v>
      </x:c>
      <x:c r="E19" s="303">
        <x:v>0.00122</x:v>
      </x:c>
      <x:c r="F19" s="303">
        <x:v>0.00014</x:v>
      </x:c>
      <x:c r="G19" s="303">
        <x:v>-0.04503</x:v>
      </x:c>
      <x:c r="H19" s="302">
        <x:v>0.0001793475307052647</x:v>
      </x:c>
      <x:c r="I19" s="302">
        <x:v>-6.26631577579123e-08</x:v>
      </x:c>
      <x:c r="J19" s="302">
        <x:v>0</x:v>
      </x:c>
      <x:c r="K19" s="302">
        <x:v>0.0001736515692947353</x:v>
      </x:c>
      <x:c r="L19" s="302">
        <x:v>0</x:v>
      </x:c>
      <x:c r="M19" s="302">
        <x:v>2.8445644799999997e-05</x:v>
      </x:c>
      <x:c r="N19" s="301" t="str">
        <x:v>DERIVED BY SYMMETRY</x:v>
      </x:c>
      <x:c r="O19" s="301" t="str">
        <x:v>CAD symmetry-derived from LF: same left-side frame as LF</x:v>
      </x:c>
      <x:c r="P19" s="301" t="str">
        <x:v>lf_upper_leg_link__physprop.txt (Solid Edge 2026-10-30)</x:v>
      </x:c>
      <x:c r="Q19" s="301" t="str">
        <x:v>URDF &lt;inertial&gt; updated 2026-10-31</x:v>
      </x:c>
      <x:c r="R19" t="str">
        <x:v>meshes/collision/lh_upper_leg_link.stl</x:v>
      </x:c>
      <x:c r="S19" t="str">
        <x:v>0.001 0.001 0.001</x:v>
      </x:c>
      <x:c r="T19" t="str">
        <x:v>CAD physical-property subassembly</x:v>
      </x:c>
      <x:c r="U19" s="156" t="str">
        <x:v>Due cavetti interni; ≈4 g per upper leg (stima operatore). Già inclusi nella massa CAD; NON sommare.</x:v>
      </x:c>
      <x:c r="V19" t="str">
        <x:v>lf_upper_leg_link__physprop.txt (Solid Edge 2026-10-30)</x:v>
      </x:c>
      <x:c r="W19" t="str">
        <x:v>Origin visual/collision = (0,0,0), RPY=(0,0,0); STL mm</x:v>
      </x:c>
    </x:row>
    <x:row r="20" ht="40" customHeight="1">
      <x:c r="A20" s="301" t="str">
        <x:v>lh_lower_leg_link</x:v>
      </x:c>
      <x:c r="B20" s="301" t="str">
        <x:v>LH</x:v>
      </x:c>
      <x:c r="C20" s="301" t="str">
        <x:v>Lower-leg subassembly</x:v>
      </x:c>
      <x:c r="D20" s="303">
        <x:v>0.059</x:v>
      </x:c>
      <x:c r="E20" s="303">
        <x:v>0.03075</x:v>
      </x:c>
      <x:c r="F20" s="303">
        <x:v>-0.00118</x:v>
      </x:c>
      <x:c r="G20" s="303">
        <x:v>-0.01958</x:v>
      </x:c>
      <x:c r="H20" s="302">
        <x:v>2.1336446929790997e-05</x:v>
      </x:c>
      <x:c r="I20" s="302">
        <x:v>6.041799841230725e-07</x:v>
      </x:c>
      <x:c r="J20" s="302">
        <x:v>1.6688800623674613e-05</x:v>
      </x:c>
      <x:c r="K20" s="302">
        <x:v>0.00010166845570177805</x:v>
      </x:c>
      <x:c r="L20" s="302">
        <x:v>-3.688275776795085e-07</x:v>
      </x:c>
      <x:c r="M20" s="302">
        <x:v>0.00010344482636843086</x:v>
      </x:c>
      <x:c r="N20" s="301" t="str">
        <x:v>DERIVED BY SYMMETRY</x:v>
      </x:c>
      <x:c r="O20" s="301" t="str">
        <x:v>CAD symmetry-derived from LF: same left-side frame as LF</x:v>
      </x:c>
      <x:c r="P20" s="301" t="str">
        <x:v>lf_lower_leg_link__physprop.txt (Solid Edge 2026-10-30)</x:v>
      </x:c>
      <x:c r="Q20" s="301" t="str">
        <x:v>URDF &lt;inertial&gt; updated 2026-10-31</x:v>
      </x:c>
      <x:c r="R20" t="str">
        <x:v>meshes/collision/lh_lower_leg_link.stl</x:v>
      </x:c>
      <x:c r="S20" t="str">
        <x:v>0.001 0.001 0.001</x:v>
      </x:c>
      <x:c r="T20" t="str">
        <x:v>CAD physical-property subassembly</x:v>
      </x:c>
      <x:c r="U20" s="156" t="str">
        <x:v>Nessun trasferimento di massa dal link CAD.</x:v>
      </x:c>
      <x:c r="V20" t="str">
        <x:v>lf_lower_leg_link__physprop.txt (Solid Edge 2026-10-30)</x:v>
      </x:c>
      <x:c r="W20" t="str">
        <x:v>Origin visual/collision = (0,0,0), RPY=(0,0,0); STL mm</x:v>
      </x:c>
    </x:row>
    <x:row r="21" ht="40" customHeight="1">
      <x:c r="A21" s="301" t="str">
        <x:v>lh_foot_link</x:v>
      </x:c>
      <x:c r="B21" s="301" t="str">
        <x:v>LH</x:v>
      </x:c>
      <x:c r="C21" s="301" t="str">
        <x:v>Foot subassembly</x:v>
      </x:c>
      <x:c r="D21" s="303">
        <x:v>0.014</x:v>
      </x:c>
      <x:c r="E21" s="303">
        <x:v>-0.00074</x:v>
      </x:c>
      <x:c r="F21" s="303">
        <x:v>0</x:v>
      </x:c>
      <x:c r="G21" s="303">
        <x:v>0.01572</x:v>
      </x:c>
      <x:c r="H21" s="302">
        <x:v>8.920990589937979e-07</x:v>
      </x:c>
      <x:c r="I21" s="302">
        <x:v>0</x:v>
      </x:c>
      <x:c r="J21" s="302">
        <x:v>-5.562092867964478e-09</x:v>
      </x:c>
      <x:c r="K21" s="302">
        <x:v>8.430463999999999e-07</x:v>
      </x:c>
      <x:c r="L21" s="302">
        <x:v>0</x:v>
      </x:c>
      <x:c r="M21" s="302">
        <x:v>8.932047410062023e-07</x:v>
      </x:c>
      <x:c r="N21" s="301" t="str">
        <x:v>DERIVED BY SYMMETRY</x:v>
      </x:c>
      <x:c r="O21" s="301" t="str">
        <x:v>CAD symmetry-derived from LF: identical foot geometry (LF copied)</x:v>
      </x:c>
      <x:c r="P21" s="301" t="str">
        <x:v>lf_foot_link__physprop.txt (Solid Edge 2026-10-30)</x:v>
      </x:c>
      <x:c r="Q21" s="301" t="str">
        <x:v>URDF &lt;inertial&gt; updated 2026-10-31</x:v>
      </x:c>
      <x:c r="R21" t="str">
        <x:v>meshes/collision/lh_foot_link.stl</x:v>
      </x:c>
      <x:c r="S21" t="str">
        <x:v>0.001 0.001 0.001</x:v>
      </x:c>
      <x:c r="T21" t="str">
        <x:v>CAD physical-property subassembly</x:v>
      </x:c>
      <x:c r="U21" s="156" t="str">
        <x:v>Nessun trasferimento di massa dal link CAD.</x:v>
      </x:c>
      <x:c r="V21" t="str">
        <x:v>lf_foot_link__physprop.txt (Solid Edge 2026-10-30)</x:v>
      </x:c>
      <x:c r="W21" t="str">
        <x:v>Origin visual/collision = (0,0,0), RPY=(0,0,0); STL mm</x:v>
      </x:c>
    </x:row>
    <x:row r="23">
      <x:c r="A23" s="301" t="str">
        <x:v>Nominal model total (17 links) [kg]</x:v>
      </x:c>
      <x:c r="D23" s="303" t="n">
        <x:f>SUM(D5:D21)</x:f>
        <x:v>2.928</x:v>
      </x:c>
    </x:row>
    <x:row r="24">
      <x:c r="A24" s="301" t="str">
        <x:v>Solid Edge assembly report [kg]</x:v>
      </x:c>
      <x:c r="D24" s="303" t="n">
        <x:f>CAD_Source_Data!D10</x:f>
        <x:v>2.937</x:v>
      </x:c>
    </x:row>
    <x:row r="25">
      <x:c r="A25" s="301" t="str">
        <x:v>Difference model − assembly [kg]</x:v>
      </x:c>
      <x:c r="D25" s="303" t="n">
        <x:f>D23-D24</x:f>
        <x:v>-0.008999999999999897</x:v>
      </x:c>
    </x:row>
    <x:row r="26">
      <x:c r="A26" s="301" t="str">
        <x:v>Origin of the difference: per-link masses are reported at 1 g resolution; the 17 link volumes close on the assembly volume within 1.1 mm³, so no solid is missing. Not allocated to any link (see Mass_Reconciliation).</x:v>
      </x:c>
    </x:row>
    <x:row r="27">
      <x:c r="A27" t="str">
        <x:v>ALLOC. CAVETTI: i ≈4 g/upper leg sono una stima dell'operatore dei 2 cavetti, NON una massa aggiuntiva ai 152 g CAD; la nota REV00 che li attribuiva all'hip è superata.</x:v>
      </x:c>
    </x:row>
    <x:row r="28">
      <x:c r="A28" t="str">
        <x:v>Non alterare i 17 valori CAD per ricollocare una nota contabile. Le masse qui sono la Single Source of Truth del modello, non la distinta grezza storica.</x:v>
      </x:c>
    </x:row>
    <x:row r="29">
      <x:c r="A29" t="str">
        <x:v>Il 5° ST3215 (neck yaw) è già rappresentato fisicamente nel base_link; attualmente manca solo la modellazione cinematica del relativo giunto. Nessuna massa aggiunta.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5" hidden="0" customWidth="1"/>
    <x:col min="4" max="4" width="13" hidden="0" customWidth="1"/>
    <x:col min="5" max="5" width="12" hidden="0" customWidth="1"/>
    <x:col min="6" max="6" width="12" hidden="0" customWidth="1"/>
    <x:col min="7" max="7" width="12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1" hidden="0" customWidth="1"/>
    <x:col min="15" max="15" width="11" hidden="0" customWidth="1"/>
    <x:col min="16" max="16" width="11" hidden="0" customWidth="1"/>
    <x:col min="17" max="17" width="22" hidden="0" customWidth="1"/>
    <x:col min="18" max="18" width="56" hidden="0" customWidth="1"/>
  </x:cols>
  <x:sheetData>
    <x:row r="1" ht="24" customHeight="1">
      <x:c r="A1" s="289" t="str">
        <x:v>MATDOG — Dati CAD sorgente per proprietà fisiche (Solid Edge 2026-10-30)</x:v>
      </x:c>
      <x:c r="B1" s="289"/>
      <x:c r="C1" s="289"/>
      <x:c r="D1" s="289"/>
      <x:c r="E1" s="289"/>
      <x:c r="F1" s="289"/>
      <x:c r="G1" s="289"/>
      <x:c r="H1" s="289"/>
      <x:c r="I1" s="289"/>
      <x:c r="J1" s="289"/>
      <x:c r="K1" s="289"/>
      <x:c r="L1" s="289"/>
      <x:c r="M1" s="289"/>
      <x:c r="N1" s="289"/>
      <x:c r="O1" s="289"/>
      <x:c r="P1" s="289"/>
      <x:c r="Q1" s="289"/>
      <x:c r="R1" s="289"/>
    </x:row>
    <x:row r="2" ht="36" customHeight="1">
      <x:c r="A2" s="294" t="str">
        <x:v>Trascrizione strutturata dei report Solid Edge ricevuti il 2026-10-30 (configurazione nominale con Jetson Orin). I report per-link riportano la massa a 0.001 kg; i momenti 'global' sono riferiti all’origine CAD, non al CoM, e sono in kg·dm² come stampati. Gli originali sono in 09_Logs/Validation_Reports/REV01_FIX_Physical_Properties_2026-10-31/input/.</x:v>
      </x:c>
      <x:c r="B2" s="294"/>
      <x:c r="C2" s="294"/>
      <x:c r="D2" s="294"/>
      <x:c r="E2" s="294"/>
      <x:c r="F2" s="294"/>
      <x:c r="G2" s="294"/>
      <x:c r="H2" s="294"/>
      <x:c r="I2" s="294"/>
      <x:c r="J2" s="294"/>
      <x:c r="K2" s="294"/>
      <x:c r="L2" s="294"/>
      <x:c r="M2" s="294"/>
      <x:c r="N2" s="294"/>
      <x:c r="O2" s="294"/>
      <x:c r="P2" s="294"/>
      <x:c r="Q2" s="294"/>
      <x:c r="R2" s="294"/>
    </x:row>
    <x:row r="4" ht="42" customHeight="1">
      <x:c r="A4" s="427" t="str">
        <x:v>Source report</x:v>
      </x:c>
      <x:c r="B4" s="427" t="str">
        <x:v>Scope</x:v>
      </x:c>
      <x:c r="C4" s="427" t="str">
        <x:v>Mass reported
[kg]</x:v>
      </x:c>
      <x:c r="D4" s="427" t="str">
        <x:v>Mass used
[kg]</x:v>
      </x:c>
      <x:c r="E4" s="427" t="str">
        <x:v>CoM X
[mm]</x:v>
      </x:c>
      <x:c r="F4" s="427" t="str">
        <x:v>CoM Y
[mm]</x:v>
      </x:c>
      <x:c r="G4" s="427" t="str">
        <x:v>CoM Z
[mm]</x:v>
      </x:c>
      <x:c r="H4" s="427" t="str">
        <x:v>Ixx global [kg·dm²]</x:v>
      </x:c>
      <x:c r="I4" s="427" t="str">
        <x:v>Iyy global [kg·dm²]</x:v>
      </x:c>
      <x:c r="J4" s="427" t="str">
        <x:v>Izz global [kg·dm²]</x:v>
      </x:c>
      <x:c r="K4" s="427" t="str">
        <x:v>Ixy product [kg·dm²]</x:v>
      </x:c>
      <x:c r="L4" s="427" t="str">
        <x:v>Ixz product [kg·dm²]</x:v>
      </x:c>
      <x:c r="M4" s="427" t="str">
        <x:v>Iyz product [kg·dm²]</x:v>
      </x:c>
      <x:c r="N4" s="427" t="str">
        <x:v>K1
[mm]</x:v>
      </x:c>
      <x:c r="O4" s="427" t="str">
        <x:v>K2
[mm]</x:v>
      </x:c>
      <x:c r="P4" s="427" t="str">
        <x:v>K3
[mm]</x:v>
      </x:c>
      <x:c r="Q4" s="427" t="str">
        <x:v>Use in REV01-FIX</x:v>
      </x:c>
      <x:c r="R4" s="427" t="str">
        <x:v>Notes</x:v>
      </x:c>
    </x:row>
    <x:row r="5">
      <x:c r="A5" s="301" t="str">
        <x:v>base_link__physprop.txt</x:v>
      </x:c>
      <x:c r="B5" s="301" t="str">
        <x:v>base_link</x:v>
      </x:c>
      <x:c r="C5" s="306">
        <x:v>1.828</x:v>
      </x:c>
      <x:c r="D5" s="306" t="n">
        <x:f>C5</x:f>
        <x:v>1.828</x:v>
      </x:c>
      <x:c r="E5" s="307">
        <x:v>-6.93</x:v>
      </x:c>
      <x:c r="F5" s="307">
        <x:v>-0.44</x:v>
      </x:c>
      <x:c r="G5" s="307">
        <x:v>36.57</x:v>
      </x:c>
      <x:c r="H5" s="303">
        <x:v>0.433</x:v>
      </x:c>
      <x:c r="I5" s="303">
        <x:v>1.614</x:v>
      </x:c>
      <x:c r="J5" s="303">
        <x:v>1.414</x:v>
      </x:c>
      <x:c r="K5" s="303">
        <x:v>0.002</x:v>
      </x:c>
      <x:c r="L5" s="303">
        <x:v>-0.021</x:v>
      </x:c>
      <x:c r="M5" s="303">
        <x:v>-0.002</x:v>
      </x:c>
      <x:c r="N5" s="307">
        <x:v>87.7</x:v>
      </x:c>
      <x:c r="O5" s="307">
        <x:v>86.28</x:v>
      </x:c>
      <x:c r="P5" s="307">
        <x:v>32.07</x:v>
      </x:c>
      <x:c r="Q5" s="301" t="str">
        <x:v>Direct</x:v>
      </x:c>
      <x:c r="R5" s="301" t="str">
        <x:v>Includes the Jetson Orin (175 g). Mass used = Solid Edge report.</x:v>
      </x:c>
    </x:row>
    <x:row r="6">
      <x:c r="A6" s="301" t="str">
        <x:v>lf_hip_link__physprop.txt</x:v>
      </x:c>
      <x:c r="B6" s="301" t="str">
        <x:v>lf_hip_link</x:v>
      </x:c>
      <x:c r="C6" s="306">
        <x:v>0.05</x:v>
      </x:c>
      <x:c r="D6" s="306" t="n">
        <x:f>C6</x:f>
        <x:v>0.05</x:v>
      </x:c>
      <x:c r="E6" s="307">
        <x:v>3.66</x:v>
      </x:c>
      <x:c r="F6" s="307">
        <x:v>29.82</x:v>
      </x:c>
      <x:c r="G6" s="307">
        <x:v>6.94</x:v>
      </x:c>
      <x:c r="H6" s="303">
        <x:v>0.009</x:v>
      </x:c>
      <x:c r="I6" s="303">
        <x:v>0.002</x:v>
      </x:c>
      <x:c r="J6" s="303">
        <x:v>0.009</x:v>
      </x:c>
      <x:c r="K6" s="303">
        <x:v>0.001</x:v>
      </x:c>
      <x:c r="L6" s="303">
        <x:v>0</x:v>
      </x:c>
      <x:c r="M6" s="303">
        <x:v>0.001</x:v>
      </x:c>
      <x:c r="N6" s="307">
        <x:v>30.43</x:v>
      </x:c>
      <x:c r="O6" s="307">
        <x:v>28.35</x:v>
      </x:c>
      <x:c r="P6" s="307">
        <x:v>19.04</x:v>
      </x:c>
      <x:c r="Q6" s="301" t="str">
        <x:v>Direct LF / symmetry seed</x:v>
      </x:c>
      <x:c r="R6" s="301" t="str">
        <x:v>RF = Y reflection of LF; LH = LF frame; RH = Y reflection (rear hip meshes differ slightly from LF: see Physical_Property_Method).</x:v>
      </x:c>
    </x:row>
    <x:row r="7">
      <x:c r="A7" s="301" t="str">
        <x:v>lf_upper_leg_link__physprop.txt</x:v>
      </x:c>
      <x:c r="B7" s="301" t="str">
        <x:v>lf_upper_leg_link</x:v>
      </x:c>
      <x:c r="C7" s="306">
        <x:v>0.152</x:v>
      </x:c>
      <x:c r="D7" s="306" t="n">
        <x:f>C7</x:f>
        <x:v>0.152</x:v>
      </x:c>
      <x:c r="E7" s="307">
        <x:v>1.22</x:v>
      </x:c>
      <x:c r="F7" s="307">
        <x:v>0.14</x:v>
      </x:c>
      <x:c r="G7" s="307">
        <x:v>-45.03</x:v>
      </x:c>
      <x:c r="H7" s="303">
        <x:v>0.049</x:v>
      </x:c>
      <x:c r="I7" s="303">
        <x:v>0.048</x:v>
      </x:c>
      <x:c r="J7" s="303">
        <x:v>0.003</x:v>
      </x:c>
      <x:c r="K7" s="303">
        <x:v>0</x:v>
      </x:c>
      <x:c r="L7" s="303">
        <x:v>-0.001</x:v>
      </x:c>
      <x:c r="M7" s="303">
        <x:v>0</x:v>
      </x:c>
      <x:c r="N7" s="307">
        <x:v>34.35</x:v>
      </x:c>
      <x:c r="O7" s="307">
        <x:v>33.8</x:v>
      </x:c>
      <x:c r="P7" s="307">
        <x:v>13.68</x:v>
      </x:c>
      <x:c r="Q7" s="301" t="str">
        <x:v>Direct LF / symmetry seed</x:v>
      </x:c>
      <x:c r="R7" s="301" t="str">
        <x:v>RF and RH are derived by local Y reflection; LH uses the same left-side local geometry (mesh-verified).</x:v>
      </x:c>
    </x:row>
    <x:row r="8">
      <x:c r="A8" s="301" t="str">
        <x:v>lf_lower_leg_link__physprop.txt</x:v>
      </x:c>
      <x:c r="B8" s="301" t="str">
        <x:v>lf_lower_leg_link</x:v>
      </x:c>
      <x:c r="C8" s="306">
        <x:v>0.059</x:v>
      </x:c>
      <x:c r="D8" s="306" t="n">
        <x:f>C8</x:f>
        <x:v>0.059</x:v>
      </x:c>
      <x:c r="E8" s="307">
        <x:v>30.75</x:v>
      </x:c>
      <x:c r="F8" s="307">
        <x:v>-1.18</x:v>
      </x:c>
      <x:c r="G8" s="307">
        <x:v>-19.58</x:v>
      </x:c>
      <x:c r="H8" s="303">
        <x:v>0.004</x:v>
      </x:c>
      <x:c r="I8" s="303">
        <x:v>0.018</x:v>
      </x:c>
      <x:c r="J8" s="303">
        <x:v>0.016</x:v>
      </x:c>
      <x:c r="K8" s="303">
        <x:v>0</x:v>
      </x:c>
      <x:c r="L8" s="303">
        <x:v>-0.005</x:v>
      </x:c>
      <x:c r="M8" s="303">
        <x:v>0</x:v>
      </x:c>
      <x:c r="N8" s="307">
        <x:v>42.53</x:v>
      </x:c>
      <x:c r="O8" s="307">
        <x:v>41.51</x:v>
      </x:c>
      <x:c r="P8" s="307">
        <x:v>17.5</x:v>
      </x:c>
      <x:c r="Q8" s="301" t="str">
        <x:v>Direct LF / symmetry seed</x:v>
      </x:c>
      <x:c r="R8" s="301" t="str">
        <x:v>RF and RH are derived by local Y reflection; LH uses the same left-side local geometry (mesh-verified).</x:v>
      </x:c>
    </x:row>
    <x:row r="9">
      <x:c r="A9" s="301" t="str">
        <x:v>lf_foot_link__physprop.txt</x:v>
      </x:c>
      <x:c r="B9" s="301" t="str">
        <x:v>lf_foot_link</x:v>
      </x:c>
      <x:c r="C9" s="306">
        <x:v>0.014</x:v>
      </x:c>
      <x:c r="D9" s="306" t="n">
        <x:f>C9</x:f>
        <x:v>0.014</x:v>
      </x:c>
      <x:c r="E9" s="307">
        <x:v>-0.74</x:v>
      </x:c>
      <x:c r="F9" s="307">
        <x:v>0</x:v>
      </x:c>
      <x:c r="G9" s="307">
        <x:v>15.72</x:v>
      </x:c>
      <x:c r="H9" s="303">
        <x:v>0</x:v>
      </x:c>
      <x:c r="I9" s="303">
        <x:v>0</x:v>
      </x:c>
      <x:c r="J9" s="303">
        <x:v>0</x:v>
      </x:c>
      <x:c r="K9" s="303">
        <x:v>0</x:v>
      </x:c>
      <x:c r="L9" s="303">
        <x:v>0</x:v>
      </x:c>
      <x:c r="M9" s="303">
        <x:v>0</x:v>
      </x:c>
      <x:c r="N9" s="307">
        <x:v>8.01</x:v>
      </x:c>
      <x:c r="O9" s="307">
        <x:v>7.96</x:v>
      </x:c>
      <x:c r="P9" s="307">
        <x:v>7.76</x:v>
      </x:c>
      <x:c r="Q9" s="301" t="str">
        <x:v>Direct LF / identical foot seed</x:v>
      </x:c>
      <x:c r="R9" s="301" t="str">
        <x:v>All four foot links use the identical CAD foot geometry. Global moments print as 0.000 because of rounding (&lt; 5e-6 kg·m²), not because the inertia is zero.</x:v>
      </x:c>
    </x:row>
    <x:row r="10">
      <x:c r="A10" s="301" t="str">
        <x:v>matdog_urdf_assembly__physprop.txt</x:v>
      </x:c>
      <x:c r="B10" s="301" t="str">
        <x:v>17-link assembly (frame Base; moments about the CoM, kg·m² printed, converted to kg·dm² here)</x:v>
      </x:c>
      <x:c r="C10" s="306">
        <x:v>2.937</x:v>
      </x:c>
      <x:c r="D10" s="306" t="n">
        <x:f>C10</x:f>
        <x:v>2.937</x:v>
      </x:c>
      <x:c r="E10" s="307">
        <x:v>0.78</x:v>
      </x:c>
      <x:c r="F10" s="307">
        <x:v>-0.59</x:v>
      </x:c>
      <x:c r="G10" s="307">
        <x:v>17.02</x:v>
      </x:c>
      <x:c r="H10" s="303">
        <x:v>1.7</x:v>
      </x:c>
      <x:c r="I10" s="303">
        <x:v>3.4</x:v>
      </x:c>
      <x:c r="J10" s="303">
        <x:v>3.9</x:v>
      </x:c>
      <x:c r="K10" s="303">
        <x:v>0</x:v>
      </x:c>
      <x:c r="L10" s="303">
        <x:v>0</x:v>
      </x:c>
      <x:c r="M10" s="303">
        <x:v>0</x:v>
      </x:c>
      <x:c r="N10" s="307">
        <x:v>115.56</x:v>
      </x:c>
      <x:c r="O10" s="307">
        <x:v>106.96</x:v>
      </x:c>
      <x:c r="P10" s="307">
        <x:v>73.98</x:v>
      </x:c>
      <x:c r="Q10" s="301" t="str">
        <x:v>Aggregate validation</x:v>
      </x:c>
      <x:c r="R10" s="301" t="str">
        <x:v>Includes the Jetson Orin. Rebuilt 17-link model: 2.928 kg, CoM deviation 0.42 mm, K within 0.2 %. Volume: assembly 1970535.851 mm³ vs sum of link volumes 1970534.788 mm³.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39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8" hidden="0" customWidth="1"/>
  </x:cols>
  <x:sheetData>
    <x:row r="1" ht="29" customHeight="1">
      <x:c r="A1" s="437" t="str">
        <x:v>MATDOG — MASSE, BILANCIO CAD/REALTA' E ALLOCAZIONE</x:v>
      </x:c>
      <x:c r="B1" s="437"/>
      <x:c r="C1" s="437"/>
      <x:c r="D1" s="437"/>
      <x:c r="E1" s="437"/>
      <x:c r="F1" s="437"/>
      <x:c r="G1" s="437"/>
      <x:c r="H1" s="437"/>
    </x:row>
    <x:row r="2" ht="36" customHeight="1">
      <x:c r="A2" s="294" t="str">
        <x:v>Il modello dinamico usa le masse per-link dei report Solid Edge 2026-10-30 (1 g di risoluzione); non è stata applicata alcuna scala. Il calcolo pesi e la pesata reale (senza Jetson) sono conservati come controlli di configurazione, non come scala automatica del tensore d’inerzia.</x:v>
      </x:c>
      <x:c r="B2" s="294"/>
      <x:c r="C2" s="294"/>
      <x:c r="D2" s="294"/>
      <x:c r="E2" s="294"/>
      <x:c r="F2" s="294"/>
      <x:c r="G2" s="294"/>
      <x:c r="H2" s="294"/>
    </x:row>
    <x:row r="4">
      <x:c r="A4" s="300" t="str">
        <x:v>Metric</x:v>
      </x:c>
      <x:c r="B4" s="300" t="str">
        <x:v>Value</x:v>
      </x:c>
    </x:row>
    <x:row r="5">
      <x:c r="A5" s="301" t="str">
        <x:v>URDF dynamic model — CAD mass [kg]</x:v>
      </x:c>
      <x:c r="B5" s="306" t="n">
        <x:f>Inertial_Properties!D23</x:f>
        <x:v>2.928</x:v>
      </x:c>
    </x:row>
    <x:row r="6">
      <x:c r="A6" s="301" t="str">
        <x:v>CAD full assembly report [kg]</x:v>
      </x:c>
      <x:c r="B6" s="306" t="n">
        <x:f>CAD_Source_Data!D10</x:f>
        <x:v>2.937</x:v>
      </x:c>
    </x:row>
    <x:row r="7">
      <x:c r="A7" s="301" t="str">
        <x:v>Difference model vs full CAD [kg]</x:v>
      </x:c>
      <x:c r="B7" s="306" t="n">
        <x:f>B5-B6</x:f>
        <x:v>-0.008999999999999897</x:v>
      </x:c>
    </x:row>
    <x:row r="8">
      <x:c r="A8" s="301" t="str">
        <x:v>Weight-breakdown calculated, WITH Jetson [kg]</x:v>
      </x:c>
      <x:c r="B8" s="306" t="n">
        <x:f>('Weight_Evidence_2026-10-30'!J11+'Weight_Evidence_2026-10-30'!F16)/1000</x:f>
        <x:v>2.9432</x:v>
      </x:c>
    </x:row>
    <x:row r="9">
      <x:c r="A9" s="301" t="str">
        <x:v>Physical robot measured 2026-10-30, WITHOUT Jetson [kg]</x:v>
      </x:c>
      <x:c r="B9" s="306" t="n">
        <x:f>'Weight_Evidence_2026-10-30'!J2/1000</x:f>
        <x:v>2.807</x:v>
      </x:c>
    </x:row>
    <x:row r="10">
      <x:c r="A10" s="301" t="str">
        <x:v>CAD assembly without Jetson − measured robot [kg]</x:v>
      </x:c>
      <x:c r="B10" s="306" t="n">
        <x:f>(B6-B12)-B9</x:f>
        <x:v>-0.04499999999999993</x:v>
      </x:c>
    </x:row>
    <x:row r="11">
      <x:c r="A11" s="301" t="str">
        <x:v>(CAD assembly without Jetson − measured robot) / CAD without Jetson</x:v>
      </x:c>
      <x:c r="B11" s="308" t="n">
        <x:f>B10/(B6-B12)</x:f>
        <x:v>-0.016292541636495267</x:v>
      </x:c>
    </x:row>
    <x:row r="12">
      <x:c r="A12" s="301" t="str">
        <x:v>Jetson Orin, inside the base_link CAD [kg]</x:v>
      </x:c>
      <x:c r="B12" s="306" t="n">
        <x:f>'Weight_Evidence_2026-10-30'!F16/1000</x:f>
        <x:v>0.175</x:v>
      </x:c>
    </x:row>
    <x:row r="13">
      <x:c r="A13" s="310" t="str">
        <x:v>5th motor housing / neck yaw</x:v>
      </x:c>
      <x:c r="B13" s="310" t="str">
        <x:v>CONFERMATO OPERATORE: il base_link CAD comprende cinque ST3215, incluso il neck yaw. Il neck yaw NON esiste ancora come giunto URDF e NON si aggiunge una massa extra.</x:v>
      </x:c>
    </x:row>
    <x:row r="14">
      <x:c r="A14" s="301" t="str">
        <x:v>Weight workbook: measured − analytic without Jetson [kg]</x:v>
      </x:c>
      <x:c r="B14" s="306" t="n">
        <x:f>'Weight_Evidence_2026-10-30'!J13/1000</x:f>
        <x:v>0.03880000000000018</x:v>
      </x:c>
    </x:row>
    <x:row r="16" ht="42" customHeight="1">
      <x:c r="A16" s="427" t="str">
        <x:v>Link family</x:v>
      </x:c>
      <x:c r="B16" s="427" t="str">
        <x:v>Quantity</x:v>
      </x:c>
      <x:c r="C16" s="427" t="str">
        <x:v>CAD mass / unit [kg]</x:v>
      </x:c>
      <x:c r="D16" s="427" t="str">
        <x:v>CAD group [kg]</x:v>
      </x:c>
      <x:c r="E16" s="427" t="str">
        <x:v>Weight breakdown / unit [kg]</x:v>
      </x:c>
      <x:c r="F16" s="427" t="str">
        <x:v>Weight breakdown group [kg]</x:v>
      </x:c>
      <x:c r="G16" s="427" t="str">
        <x:v>CAD − breakdown [kg]</x:v>
      </x:c>
      <x:c r="H16" s="427" t="str">
        <x:v>Status</x:v>
      </x:c>
    </x:row>
    <x:row r="17">
      <x:c r="A17" s="301" t="str">
        <x:v>base_link</x:v>
      </x:c>
      <x:c r="B17" s="301" t="n">
        <x:v>1</x:v>
      </x:c>
      <x:c r="C17" s="306" t="n">
        <x:f>Inertial_Properties!D5</x:f>
        <x:v>1.828</x:v>
      </x:c>
      <x:c r="D17" s="306" t="n">
        <x:f>B17*C17</x:f>
        <x:v>1.828</x:v>
      </x:c>
      <x:c r="E17" s="306" t="n">
        <x:f>('Weight_Evidence_2026-10-30'!F33+'Weight_Evidence_2026-10-30'!M6+'Weight_Evidence_2026-10-30'!M7)/1000</x:f>
        <x:v>1.8416</x:v>
      </x:c>
      <x:c r="F17" s="306" t="n">
        <x:f>B17*E17</x:f>
        <x:v>1.8416</x:v>
      </x:c>
      <x:c r="G17" s="306" t="n">
        <x:f>D17-F17</x:f>
        <x:v>-0.013599999999999834</x:v>
      </x:c>
      <x:c r="H17" s="301" t="str">
        <x:v>CAD direct (Solid Edge 2026-10-30)</x:v>
      </x:c>
    </x:row>
    <x:row r="18">
      <x:c r="A18" s="301" t="str">
        <x:v>hip_link</x:v>
      </x:c>
      <x:c r="B18" s="301" t="n">
        <x:v>4</x:v>
      </x:c>
      <x:c r="C18" s="306" t="n">
        <x:f>Inertial_Properties!D6</x:f>
        <x:v>0.05</x:v>
      </x:c>
      <x:c r="D18" s="306" t="n">
        <x:f>B18*C18</x:f>
        <x:v>0.2</x:v>
      </x:c>
      <x:c r="E18" s="306" t="n">
        <x:f>'Weight_Evidence_2026-10-30'!F41/1000</x:f>
        <x:v>0.0501</x:v>
      </x:c>
      <x:c r="F18" s="306" t="n">
        <x:f>B18*E18</x:f>
        <x:v>0.2004</x:v>
      </x:c>
      <x:c r="G18" s="306" t="n">
        <x:f>D18-F18</x:f>
        <x:v>-0.0003999999999999837</x:v>
      </x:c>
      <x:c r="H18" s="301" t="str">
        <x:v>CAD direct / link CAD report</x:v>
      </x:c>
    </x:row>
    <x:row r="19">
      <x:c r="A19" s="301" t="str">
        <x:v>upper_leg_link</x:v>
      </x:c>
      <x:c r="B19" s="301" t="n">
        <x:v>4</x:v>
      </x:c>
      <x:c r="C19" s="306" t="n">
        <x:f>Inertial_Properties!D7</x:f>
        <x:v>0.152</x:v>
      </x:c>
      <x:c r="D19" s="306" t="n">
        <x:f>B19*C19</x:f>
        <x:v>0.608</x:v>
      </x:c>
      <x:c r="E19" s="306" t="n">
        <x:f>'Weight_Evidence_2026-10-30'!F49/1000</x:f>
        <x:v>0.152</x:v>
      </x:c>
      <x:c r="F19" s="306" t="n">
        <x:f>B19*E19</x:f>
        <x:v>0.608</x:v>
      </x:c>
      <x:c r="G19" s="306" t="n">
        <x:f>D19-F19</x:f>
        <x:v>0</x:v>
      </x:c>
      <x:c r="H19" s="301" t="str">
        <x:v>CAD direct / link CAD report</x:v>
      </x:c>
    </x:row>
    <x:row r="20">
      <x:c r="A20" s="301" t="str">
        <x:v>lower_leg_link</x:v>
      </x:c>
      <x:c r="B20" s="301" t="n">
        <x:v>4</x:v>
      </x:c>
      <x:c r="C20" s="306" t="n">
        <x:f>Inertial_Properties!D8</x:f>
        <x:v>0.059</x:v>
      </x:c>
      <x:c r="D20" s="306" t="n">
        <x:f>B20*C20</x:f>
        <x:v>0.236</x:v>
      </x:c>
      <x:c r="E20" s="306" t="n">
        <x:f>'Weight_Evidence_2026-10-30'!F57/1000</x:f>
        <x:v>0.0593</x:v>
      </x:c>
      <x:c r="F20" s="306" t="n">
        <x:f>B20*E20</x:f>
        <x:v>0.2372</x:v>
      </x:c>
      <x:c r="G20" s="306" t="n">
        <x:f>D20-F20</x:f>
        <x:v>-0.0012000000000000066</x:v>
      </x:c>
      <x:c r="H20" s="301" t="str">
        <x:v>CAD direct / link CAD report</x:v>
      </x:c>
    </x:row>
    <x:row r="21">
      <x:c r="A21" s="301" t="str">
        <x:v>foot_link</x:v>
      </x:c>
      <x:c r="B21" s="301" t="n">
        <x:v>4</x:v>
      </x:c>
      <x:c r="C21" s="306" t="n">
        <x:f>Inertial_Properties!D9</x:f>
        <x:v>0.014</x:v>
      </x:c>
      <x:c r="D21" s="306" t="n">
        <x:f>B21*C21</x:f>
        <x:v>0.056</x:v>
      </x:c>
      <x:c r="E21" s="306" t="n">
        <x:f>'Weight_Evidence_2026-10-30'!F64/1000</x:f>
        <x:v>0.014</x:v>
      </x:c>
      <x:c r="F21" s="306" t="n">
        <x:f>B21*E21</x:f>
        <x:v>0.056</x:v>
      </x:c>
      <x:c r="G21" s="306" t="n">
        <x:f>D21-F21</x:f>
        <x:v>0</x:v>
      </x:c>
      <x:c r="H21" s="301" t="str">
        <x:v>CAD direct / link CAD report</x:v>
      </x:c>
    </x:row>
    <x:row r="22">
      <x:c r="A22" s="317" t="str">
        <x:v>TOTAL</x:v>
      </x:c>
      <x:c r="B22" s="317"/>
      <x:c r="C22" s="318"/>
      <x:c r="D22" s="318" t="n">
        <x:f>SUM(D17:D21)</x:f>
        <x:v>2.928</x:v>
      </x:c>
      <x:c r="E22" s="318"/>
      <x:c r="F22" s="318" t="n">
        <x:f>SUM(F17:F21)</x:f>
        <x:v>2.9432</x:v>
      </x:c>
      <x:c r="G22" s="318" t="n">
        <x:f>D22-F22</x:f>
        <x:v>-0.015200000000000102</x:v>
      </x:c>
      <x:c r="H22" s="317" t="str">
        <x:v>Residual 9 g vs assembly</x:v>
      </x:c>
    </x:row>
    <x:row r="24">
      <x:c r="A24" s="322" t="str">
        <x:v>Interpretation: the 17 per-link masses sum to 2.928 kg; the Solid Edge assembly reports 2.937 kg. The 9 g residual is NOT missing geometry (the 17 link volumes close on the assembly volume within 1.1 mm³). It lies at the 1 g resolution of the mass reports: rounding of the 5 distinct reported masses explains at most ±8.5 g if the four legs are identical, so 9 g exceeds that bound by 0.5 g — either truncation instead of rounding, or legs not exactly identical in mass; it cannot be resolved without per-link reports of RF/RH/LH or unrounded values. No mass is added or scaled. The measured robot (2.807 kg, no Jetson) is 45 g above the CAD assembly without Jetson (2.762 kg); the weight workbook attributes 38.8 g to unmodeled wiring, which is a hypothesis.</x:v>
      </x:c>
      <x:c r="B24" s="322"/>
      <x:c r="C24" s="322"/>
      <x:c r="D24" s="322"/>
      <x:c r="E24" s="322"/>
      <x:c r="F24" s="322"/>
      <x:c r="G24" s="322"/>
      <x:c r="H24" s="322"/>
    </x:row>
    <x:row r="25">
      <x:c r="A25" s="322"/>
      <x:c r="B25" s="322"/>
      <x:c r="C25" s="322"/>
      <x:c r="D25" s="322"/>
      <x:c r="E25" s="322"/>
      <x:c r="F25" s="322"/>
      <x:c r="G25" s="322"/>
      <x:c r="H25" s="322"/>
    </x:row>
    <x:row r="26" ht="26" customHeight="1">
      <x:c r="A26" s="439" t="str">
        <x:v>Indicatore</x:v>
      </x:c>
      <x:c r="B26" s="439" t="str">
        <x:v>Valore / nota</x:v>
      </x:c>
      <x:c r="C26" s="439"/>
      <x:c r="D26" s="439"/>
      <x:c r="E26" s="439"/>
      <x:c r="F26" s="439"/>
      <x:c r="G26" s="439"/>
      <x:c r="H26" s="439"/>
    </x:row>
    <x:row r="27">
      <x:c r="A27" t="str">
        <x:v>Massa Jetson nominale [kg]</x:v>
      </x:c>
      <x:c r="B27" t="n">
        <x:f>B12</x:f>
        <x:v>0.175</x:v>
      </x:c>
    </x:row>
    <x:row r="28">
      <x:c r="A28" t="str">
        <x:v>Massa CAD nominale senza Jetson [kg]</x:v>
      </x:c>
      <x:c r="B28" t="n">
        <x:f>B6-B12</x:f>
        <x:v>2.762</x:v>
      </x:c>
    </x:row>
    <x:row r="29">
      <x:c r="A29" t="str">
        <x:v>Scarto misurato vs CAD senza Jetson [kg]</x:v>
      </x:c>
      <x:c r="B29" t="n">
        <x:f>B9-B28</x:f>
        <x:v>0.04499999999999993</x:v>
      </x:c>
    </x:row>
    <x:row r="30">
      <x:c r="A30" t="str">
        <x:v>Attribuzione 4 g cablaggio per upper leg</x:v>
      </x:c>
      <x:c r="B30" t="str">
        <x:v>Operatore: i 2 cavetti dell'upper leg sono circa 4 g, NON hip; stima contabile, già compresi nella massa CAD del link, non aggiungere 4 g.</x:v>
      </x:c>
    </x:row>
    <x:row r="31">
      <x:c r="A31" t="str">
        <x:v>Stato motore neck yaw</x:v>
      </x:c>
      <x:c r="B31" t="str">
        <x:v>Il 5° ST3215 è incluso in base_link CAD, ma non modellato come giunto URDF.</x:v>
      </x:c>
    </x:row>
  </x:sheetData>
  <x:mergeCells>
    <x:mergeCell ref="A1:H1"/>
    <x:mergeCell ref="A2:H2"/>
    <x:mergeCell ref="A24:H2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3.199999809265137"/>
  <x:cols>
    <x:col min="1" max="1" width="13.5546875" customWidth="1"/>
    <x:col min="2" max="2" width="32" customWidth="1"/>
    <x:col min="9" max="9" width="13.109375" customWidth="1"/>
    <x:col min="257" max="257" width="13.5546875" customWidth="1"/>
    <x:col min="258" max="258" width="32" customWidth="1"/>
    <x:col min="265" max="265" width="13.109375" customWidth="1"/>
    <x:col min="513" max="513" width="13.5546875" customWidth="1"/>
    <x:col min="514" max="514" width="32" customWidth="1"/>
    <x:col min="521" max="521" width="13.109375" customWidth="1"/>
    <x:col min="769" max="769" width="13.5546875" customWidth="1"/>
    <x:col min="770" max="770" width="32" customWidth="1"/>
    <x:col min="777" max="777" width="13.109375" customWidth="1"/>
    <x:col min="1025" max="1025" width="13.5546875" customWidth="1"/>
    <x:col min="1026" max="1026" width="32" customWidth="1"/>
    <x:col min="1033" max="1033" width="13.109375" customWidth="1"/>
    <x:col min="1281" max="1281" width="13.5546875" customWidth="1"/>
    <x:col min="1282" max="1282" width="32" customWidth="1"/>
    <x:col min="1289" max="1289" width="13.109375" customWidth="1"/>
    <x:col min="1537" max="1537" width="13.5546875" customWidth="1"/>
    <x:col min="1538" max="1538" width="32" customWidth="1"/>
    <x:col min="1545" max="1545" width="13.109375" customWidth="1"/>
    <x:col min="1793" max="1793" width="13.5546875" customWidth="1"/>
    <x:col min="1794" max="1794" width="32" customWidth="1"/>
    <x:col min="1801" max="1801" width="13.109375" customWidth="1"/>
    <x:col min="2049" max="2049" width="13.5546875" customWidth="1"/>
    <x:col min="2050" max="2050" width="32" customWidth="1"/>
    <x:col min="2057" max="2057" width="13.109375" customWidth="1"/>
    <x:col min="2305" max="2305" width="13.5546875" customWidth="1"/>
    <x:col min="2306" max="2306" width="32" customWidth="1"/>
    <x:col min="2313" max="2313" width="13.109375" customWidth="1"/>
    <x:col min="2561" max="2561" width="13.5546875" customWidth="1"/>
    <x:col min="2562" max="2562" width="32" customWidth="1"/>
    <x:col min="2569" max="2569" width="13.109375" customWidth="1"/>
    <x:col min="2817" max="2817" width="13.5546875" customWidth="1"/>
    <x:col min="2818" max="2818" width="32" customWidth="1"/>
    <x:col min="2825" max="2825" width="13.109375" customWidth="1"/>
    <x:col min="3073" max="3073" width="13.5546875" customWidth="1"/>
    <x:col min="3074" max="3074" width="32" customWidth="1"/>
    <x:col min="3081" max="3081" width="13.109375" customWidth="1"/>
    <x:col min="3329" max="3329" width="13.5546875" customWidth="1"/>
    <x:col min="3330" max="3330" width="32" customWidth="1"/>
    <x:col min="3337" max="3337" width="13.109375" customWidth="1"/>
    <x:col min="3585" max="3585" width="13.5546875" customWidth="1"/>
    <x:col min="3586" max="3586" width="32" customWidth="1"/>
    <x:col min="3593" max="3593" width="13.109375" customWidth="1"/>
    <x:col min="3841" max="3841" width="13.5546875" customWidth="1"/>
    <x:col min="3842" max="3842" width="32" customWidth="1"/>
    <x:col min="3849" max="3849" width="13.109375" customWidth="1"/>
    <x:col min="4097" max="4097" width="13.5546875" customWidth="1"/>
    <x:col min="4098" max="4098" width="32" customWidth="1"/>
    <x:col min="4105" max="4105" width="13.109375" customWidth="1"/>
    <x:col min="4353" max="4353" width="13.5546875" customWidth="1"/>
    <x:col min="4354" max="4354" width="32" customWidth="1"/>
    <x:col min="4361" max="4361" width="13.109375" customWidth="1"/>
    <x:col min="4609" max="4609" width="13.5546875" customWidth="1"/>
    <x:col min="4610" max="4610" width="32" customWidth="1"/>
    <x:col min="4617" max="4617" width="13.109375" customWidth="1"/>
    <x:col min="4865" max="4865" width="13.5546875" customWidth="1"/>
    <x:col min="4866" max="4866" width="32" customWidth="1"/>
    <x:col min="4873" max="4873" width="13.109375" customWidth="1"/>
    <x:col min="5121" max="5121" width="13.5546875" customWidth="1"/>
    <x:col min="5122" max="5122" width="32" customWidth="1"/>
    <x:col min="5129" max="5129" width="13.109375" customWidth="1"/>
    <x:col min="5377" max="5377" width="13.5546875" customWidth="1"/>
    <x:col min="5378" max="5378" width="32" customWidth="1"/>
    <x:col min="5385" max="5385" width="13.109375" customWidth="1"/>
    <x:col min="5633" max="5633" width="13.5546875" customWidth="1"/>
    <x:col min="5634" max="5634" width="32" customWidth="1"/>
    <x:col min="5641" max="5641" width="13.109375" customWidth="1"/>
    <x:col min="5889" max="5889" width="13.5546875" customWidth="1"/>
    <x:col min="5890" max="5890" width="32" customWidth="1"/>
    <x:col min="5897" max="5897" width="13.109375" customWidth="1"/>
    <x:col min="6145" max="6145" width="13.5546875" customWidth="1"/>
    <x:col min="6146" max="6146" width="32" customWidth="1"/>
    <x:col min="6153" max="6153" width="13.109375" customWidth="1"/>
    <x:col min="6401" max="6401" width="13.5546875" customWidth="1"/>
    <x:col min="6402" max="6402" width="32" customWidth="1"/>
    <x:col min="6409" max="6409" width="13.109375" customWidth="1"/>
    <x:col min="6657" max="6657" width="13.5546875" customWidth="1"/>
    <x:col min="6658" max="6658" width="32" customWidth="1"/>
    <x:col min="6665" max="6665" width="13.109375" customWidth="1"/>
    <x:col min="6913" max="6913" width="13.5546875" customWidth="1"/>
    <x:col min="6914" max="6914" width="32" customWidth="1"/>
    <x:col min="6921" max="6921" width="13.109375" customWidth="1"/>
    <x:col min="7169" max="7169" width="13.5546875" customWidth="1"/>
    <x:col min="7170" max="7170" width="32" customWidth="1"/>
    <x:col min="7177" max="7177" width="13.109375" customWidth="1"/>
    <x:col min="7425" max="7425" width="13.5546875" customWidth="1"/>
    <x:col min="7426" max="7426" width="32" customWidth="1"/>
    <x:col min="7433" max="7433" width="13.109375" customWidth="1"/>
    <x:col min="7681" max="7681" width="13.5546875" customWidth="1"/>
    <x:col min="7682" max="7682" width="32" customWidth="1"/>
    <x:col min="7689" max="7689" width="13.109375" customWidth="1"/>
    <x:col min="7937" max="7937" width="13.5546875" customWidth="1"/>
    <x:col min="7938" max="7938" width="32" customWidth="1"/>
    <x:col min="7945" max="7945" width="13.109375" customWidth="1"/>
    <x:col min="8193" max="8193" width="13.5546875" customWidth="1"/>
    <x:col min="8194" max="8194" width="32" customWidth="1"/>
    <x:col min="8201" max="8201" width="13.109375" customWidth="1"/>
    <x:col min="8449" max="8449" width="13.5546875" customWidth="1"/>
    <x:col min="8450" max="8450" width="32" customWidth="1"/>
    <x:col min="8457" max="8457" width="13.109375" customWidth="1"/>
    <x:col min="8705" max="8705" width="13.5546875" customWidth="1"/>
    <x:col min="8706" max="8706" width="32" customWidth="1"/>
    <x:col min="8713" max="8713" width="13.109375" customWidth="1"/>
    <x:col min="8961" max="8961" width="13.5546875" customWidth="1"/>
    <x:col min="8962" max="8962" width="32" customWidth="1"/>
    <x:col min="8969" max="8969" width="13.109375" customWidth="1"/>
    <x:col min="9217" max="9217" width="13.5546875" customWidth="1"/>
    <x:col min="9218" max="9218" width="32" customWidth="1"/>
    <x:col min="9225" max="9225" width="13.109375" customWidth="1"/>
    <x:col min="9473" max="9473" width="13.5546875" customWidth="1"/>
    <x:col min="9474" max="9474" width="32" customWidth="1"/>
    <x:col min="9481" max="9481" width="13.109375" customWidth="1"/>
    <x:col min="9729" max="9729" width="13.5546875" customWidth="1"/>
    <x:col min="9730" max="9730" width="32" customWidth="1"/>
    <x:col min="9737" max="9737" width="13.109375" customWidth="1"/>
    <x:col min="9985" max="9985" width="13.5546875" customWidth="1"/>
    <x:col min="9986" max="9986" width="32" customWidth="1"/>
    <x:col min="9993" max="9993" width="13.109375" customWidth="1"/>
    <x:col min="10241" max="10241" width="13.5546875" customWidth="1"/>
    <x:col min="10242" max="10242" width="32" customWidth="1"/>
    <x:col min="10249" max="10249" width="13.109375" customWidth="1"/>
    <x:col min="10497" max="10497" width="13.5546875" customWidth="1"/>
    <x:col min="10498" max="10498" width="32" customWidth="1"/>
    <x:col min="10505" max="10505" width="13.109375" customWidth="1"/>
    <x:col min="10753" max="10753" width="13.5546875" customWidth="1"/>
    <x:col min="10754" max="10754" width="32" customWidth="1"/>
    <x:col min="10761" max="10761" width="13.109375" customWidth="1"/>
    <x:col min="11009" max="11009" width="13.5546875" customWidth="1"/>
    <x:col min="11010" max="11010" width="32" customWidth="1"/>
    <x:col min="11017" max="11017" width="13.109375" customWidth="1"/>
    <x:col min="11265" max="11265" width="13.5546875" customWidth="1"/>
    <x:col min="11266" max="11266" width="32" customWidth="1"/>
    <x:col min="11273" max="11273" width="13.109375" customWidth="1"/>
    <x:col min="11521" max="11521" width="13.5546875" customWidth="1"/>
    <x:col min="11522" max="11522" width="32" customWidth="1"/>
    <x:col min="11529" max="11529" width="13.109375" customWidth="1"/>
    <x:col min="11777" max="11777" width="13.5546875" customWidth="1"/>
    <x:col min="11778" max="11778" width="32" customWidth="1"/>
    <x:col min="11785" max="11785" width="13.109375" customWidth="1"/>
    <x:col min="12033" max="12033" width="13.5546875" customWidth="1"/>
    <x:col min="12034" max="12034" width="32" customWidth="1"/>
    <x:col min="12041" max="12041" width="13.109375" customWidth="1"/>
    <x:col min="12289" max="12289" width="13.5546875" customWidth="1"/>
    <x:col min="12290" max="12290" width="32" customWidth="1"/>
    <x:col min="12297" max="12297" width="13.109375" customWidth="1"/>
    <x:col min="12545" max="12545" width="13.5546875" customWidth="1"/>
    <x:col min="12546" max="12546" width="32" customWidth="1"/>
    <x:col min="12553" max="12553" width="13.109375" customWidth="1"/>
    <x:col min="12801" max="12801" width="13.5546875" customWidth="1"/>
    <x:col min="12802" max="12802" width="32" customWidth="1"/>
    <x:col min="12809" max="12809" width="13.109375" customWidth="1"/>
    <x:col min="13057" max="13057" width="13.5546875" customWidth="1"/>
    <x:col min="13058" max="13058" width="32" customWidth="1"/>
    <x:col min="13065" max="13065" width="13.109375" customWidth="1"/>
    <x:col min="13313" max="13313" width="13.5546875" customWidth="1"/>
    <x:col min="13314" max="13314" width="32" customWidth="1"/>
    <x:col min="13321" max="13321" width="13.109375" customWidth="1"/>
    <x:col min="13569" max="13569" width="13.5546875" customWidth="1"/>
    <x:col min="13570" max="13570" width="32" customWidth="1"/>
    <x:col min="13577" max="13577" width="13.109375" customWidth="1"/>
    <x:col min="13825" max="13825" width="13.5546875" customWidth="1"/>
    <x:col min="13826" max="13826" width="32" customWidth="1"/>
    <x:col min="13833" max="13833" width="13.109375" customWidth="1"/>
    <x:col min="14081" max="14081" width="13.5546875" customWidth="1"/>
    <x:col min="14082" max="14082" width="32" customWidth="1"/>
    <x:col min="14089" max="14089" width="13.109375" customWidth="1"/>
    <x:col min="14337" max="14337" width="13.5546875" customWidth="1"/>
    <x:col min="14338" max="14338" width="32" customWidth="1"/>
    <x:col min="14345" max="14345" width="13.109375" customWidth="1"/>
    <x:col min="14593" max="14593" width="13.5546875" customWidth="1"/>
    <x:col min="14594" max="14594" width="32" customWidth="1"/>
    <x:col min="14601" max="14601" width="13.109375" customWidth="1"/>
    <x:col min="14849" max="14849" width="13.5546875" customWidth="1"/>
    <x:col min="14850" max="14850" width="32" customWidth="1"/>
    <x:col min="14857" max="14857" width="13.109375" customWidth="1"/>
    <x:col min="15105" max="15105" width="13.5546875" customWidth="1"/>
    <x:col min="15106" max="15106" width="32" customWidth="1"/>
    <x:col min="15113" max="15113" width="13.109375" customWidth="1"/>
    <x:col min="15361" max="15361" width="13.5546875" customWidth="1"/>
    <x:col min="15362" max="15362" width="32" customWidth="1"/>
    <x:col min="15369" max="15369" width="13.109375" customWidth="1"/>
    <x:col min="15617" max="15617" width="13.5546875" customWidth="1"/>
    <x:col min="15618" max="15618" width="32" customWidth="1"/>
    <x:col min="15625" max="15625" width="13.109375" customWidth="1"/>
    <x:col min="15873" max="15873" width="13.5546875" customWidth="1"/>
    <x:col min="15874" max="15874" width="32" customWidth="1"/>
    <x:col min="15881" max="15881" width="13.109375" customWidth="1"/>
    <x:col min="16129" max="16129" width="13.5546875" customWidth="1"/>
    <x:col min="16130" max="16130" width="32" customWidth="1"/>
    <x:col min="16137" max="16137" width="13.109375" customWidth="1"/>
  </x:cols>
  <x:sheetData>
    <x:row r="1">
      <x:c r="A1" t="str">
        <x:v>group</x:v>
      </x:c>
      <x:c r="B1" t="str">
        <x:v>part</x:v>
      </x:c>
      <x:c r="C1" t="str">
        <x:v>Unit.</x:v>
      </x:c>
      <x:c r="D1"/>
      <x:c r="E1" t="str">
        <x:v>Q.ty</x:v>
      </x:c>
      <x:c r="F1" t="str">
        <x:v>Tot.</x:v>
      </x:c>
      <x:c r="P1" t="str">
        <x:v>Evidenza analitica originale 30/10/2026 (componenti e formule non alterati). Note interpretative 31/10/2026 in P2:P5.</x:v>
      </x:c>
    </x:row>
    <x:row r="2">
      <x:c r="A2" t="str">
        <x:v>base_link</x:v>
      </x:c>
      <x:c r="B2" t="str">
        <x:v>portafusibile+fusibile+cavi</x:v>
      </x:c>
      <x:c r="C2">
        <x:v>12</x:v>
      </x:c>
      <x:c r="D2" t="str">
        <x:v>g</x:v>
      </x:c>
      <x:c r="E2">
        <x:v>1</x:v>
      </x:c>
      <x:c r="F2" t="n">
        <x:f t="shared" ref="F2:F31" si="0">C2*E2</x:f>
        <x:v>12</x:v>
      </x:c>
      <x:c r="G2" t="str">
        <x:v>g</x:v>
      </x:c>
      <x:c r="I2" t="str">
        <x:v>peso robot tot.</x:v>
      </x:c>
      <x:c r="J2">
        <x:v>2807</x:v>
      </x:c>
      <x:c r="K2" t="str">
        <x:v>g</x:v>
      </x:c>
      <x:c r="L2" t="str">
        <x:v>(al 30/10/2026)</x:v>
      </x:c>
      <x:c r="P2" t="str">
        <x:v>DISTINTA DI EVIDENZA (30/10/26), NON SOURCE URDF: leggere i dati correnti nei fogli Inertial_Properties e Mass_Reconciliation.</x:v>
      </x:c>
    </x:row>
    <x:row r="3">
      <x:c r="A3" t="str">
        <x:v>base_link</x:v>
      </x:c>
      <x:c r="B3" t="str">
        <x:v>wifi_antenna (+ spinotto)</x:v>
      </x:c>
      <x:c r="C3">
        <x:v>7</x:v>
      </x:c>
      <x:c r="D3" t="str">
        <x:v>g</x:v>
      </x:c>
      <x:c r="E3">
        <x:v>1</x:v>
      </x:c>
      <x:c r="F3">
        <x:f t="shared" si="0"/>
        <x:v>7</x:v>
      </x:c>
      <x:c r="G3" t="str">
        <x:v>g</x:v>
      </x:c>
      <x:c r="I3" t="str">
        <x:v>(senza jetson orin)</x:v>
      </x:c>
      <x:c r="P3" t="str">
        <x:v>NOTA AGGIORNATA: i 4 g di cavetti/fasteners sono attribuiti agli upper_leg (2 cavetti per link), non agli hip. Stima ≈4 g/leg; nel breakdown storico il totale cavetti è 3 g.</x:v>
      </x:c>
    </x:row>
    <x:row r="4">
      <x:c r="A4" t="str">
        <x:v>base_link</x:v>
      </x:c>
      <x:c r="B4" t="str">
        <x:v>base_link__charge_pads_cover</x:v>
      </x:c>
      <x:c r="C4">
        <x:v>5</x:v>
      </x:c>
      <x:c r="D4" t="str">
        <x:v>g</x:v>
      </x:c>
      <x:c r="E4">
        <x:v>1</x:v>
      </x:c>
      <x:c r="F4">
        <x:f t="shared" si="0"/>
        <x:v>5</x:v>
      </x:c>
      <x:c r="G4" t="str">
        <x:v>g</x:v>
      </x:c>
      <x:c r="P4" t="str">
        <x:v>Non alterare numeri del rilevamento originale per raggiungere la nuova stima; le masse CAD dirette degli upper già comprendono il contenuto fisico.</x:v>
      </x:c>
    </x:row>
    <x:row r="5">
      <x:c r="A5" t="str">
        <x:v>base_link</x:v>
      </x:c>
      <x:c r="B5" t="str">
        <x:v>dado m4 flang</x:v>
      </x:c>
      <x:c r="C5">
        <x:v>1</x:v>
      </x:c>
      <x:c r="D5" t="str">
        <x:v>g</x:v>
      </x:c>
      <x:c r="E5">
        <x:v>2</x:v>
      </x:c>
      <x:c r="F5">
        <x:f t="shared" si="0"/>
        <x:v>2</x:v>
      </x:c>
      <x:c r="G5" t="str">
        <x:v>g</x:v>
      </x:c>
      <x:c r="J5" t="str">
        <x:v>Unit.</x:v>
      </x:c>
      <x:c r="L5" t="str">
        <x:v>Q.ty</x:v>
      </x:c>
      <x:c r="M5" t="str">
        <x:v>Tot.</x:v>
      </x:c>
      <x:c r="N5"/>
      <x:c r="P5" t="str">
        <x:v>Conferma operatore 31/10/2026: cinque ST3215 nel base_link (4 HIP + 1 neck yaw); il joint neck yaw non è implementato nell'URDF.</x:v>
      </x:c>
    </x:row>
    <x:row r="6">
      <x:c r="A6" t="str">
        <x:v>base_link</x:v>
      </x:c>
      <x:c r="B6" t="str">
        <x:v>occhiello m4+cavo</x:v>
      </x:c>
      <x:c r="C6">
        <x:v>2</x:v>
      </x:c>
      <x:c r="D6" t="str">
        <x:v>g</x:v>
      </x:c>
      <x:c r="E6">
        <x:v>2</x:v>
      </x:c>
      <x:c r="F6">
        <x:f t="shared" si="0"/>
        <x:v>4</x:v>
      </x:c>
      <x:c r="G6" t="str">
        <x:v>g</x:v>
      </x:c>
      <x:c r="I6" t="str">
        <x:v>servo cable+4xM2.5</x:v>
      </x:c>
      <x:c r="J6" t="n">
        <x:f>J19</x:f>
        <x:v>1.5</x:v>
      </x:c>
      <x:c r="K6" t="str">
        <x:v>g</x:v>
      </x:c>
      <x:c r="L6">
        <x:v>8</x:v>
      </x:c>
      <x:c r="M6" t="n">
        <x:f>J6*L6</x:f>
        <x:v>12</x:v>
      </x:c>
      <x:c r="N6" t="str">
        <x:v>g</x:v>
      </x:c>
    </x:row>
    <x:row r="7">
      <x:c r="A7" t="str">
        <x:v>base_link</x:v>
      </x:c>
      <x:c r="B7" t="str">
        <x:v>soldered_rear_pad</x:v>
      </x:c>
      <x:c r="C7">
        <x:v>4</x:v>
      </x:c>
      <x:c r="D7" t="str">
        <x:v>g</x:v>
      </x:c>
      <x:c r="E7">
        <x:v>2</x:v>
      </x:c>
      <x:c r="F7">
        <x:f t="shared" si="0"/>
        <x:v>8</x:v>
      </x:c>
      <x:c r="G7" t="str">
        <x:v>g</x:v>
      </x:c>
      <x:c r="I7" t="str">
        <x:v>motor housing</x:v>
      </x:c>
      <x:c r="J7">
        <x:v>58</x:v>
      </x:c>
      <x:c r="K7" t="str">
        <x:v>g</x:v>
      </x:c>
      <x:c r="L7">
        <x:v>5</x:v>
      </x:c>
      <x:c r="M7" t="n">
        <x:f>J7*L7</x:f>
        <x:v>290</x:v>
      </x:c>
      <x:c r="N7" t="str">
        <x:v>g</x:v>
      </x:c>
    </x:row>
    <x:row r="8">
      <x:c r="A8" t="str">
        <x:v>base_link</x:v>
      </x:c>
      <x:c r="B8" t="str">
        <x:v>magnete Ø3x6</x:v>
      </x:c>
      <x:c r="C8">
        <x:v>0.5</x:v>
      </x:c>
      <x:c r="D8" t="str">
        <x:v>g</x:v>
      </x:c>
      <x:c r="E8">
        <x:v>4</x:v>
      </x:c>
      <x:c r="F8">
        <x:f t="shared" si="0"/>
        <x:v>2</x:v>
      </x:c>
      <x:c r="G8" t="str">
        <x:v>g</x:v>
      </x:c>
      <x:c r="I8" t="str">
        <x:v>zampa completa</x:v>
      </x:c>
      <x:c r="J8" t="n">
        <x:f>F69</x:f>
        <x:v>275.4</x:v>
      </x:c>
      <x:c r="K8" t="str">
        <x:v>g</x:v>
      </x:c>
      <x:c r="L8">
        <x:v>4</x:v>
      </x:c>
      <x:c r="M8" t="n">
        <x:f>J8*L8</x:f>
        <x:v>1101.6</x:v>
      </x:c>
      <x:c r="N8" t="str">
        <x:v>g</x:v>
      </x:c>
    </x:row>
    <x:row r="9">
      <x:c r="A9" t="str">
        <x:v>base_link</x:v>
      </x:c>
      <x:c r="B9" t="str">
        <x:v>vite M2.5 x 6 autof.</x:v>
      </x:c>
      <x:c r="C9">
        <x:v>0.5</x:v>
      </x:c>
      <x:c r="D9" t="str">
        <x:v>g</x:v>
      </x:c>
      <x:c r="E9">
        <x:v>2</x:v>
      </x:c>
      <x:c r="F9">
        <x:f t="shared" si="0"/>
        <x:v>1</x:v>
      </x:c>
      <x:c r="G9" t="str">
        <x:v>g</x:v>
      </x:c>
    </x:row>
    <x:row r="10">
      <x:c r="A10" t="str">
        <x:v>base_link</x:v>
      </x:c>
      <x:c r="B10" t="str">
        <x:v>rear_fuse_cover (disgiuntore)</x:v>
      </x:c>
      <x:c r="C10">
        <x:v>7</x:v>
      </x:c>
      <x:c r="D10" t="str">
        <x:v>g</x:v>
      </x:c>
      <x:c r="E10">
        <x:v>1</x:v>
      </x:c>
      <x:c r="F10">
        <x:f t="shared" si="0"/>
        <x:v>7</x:v>
      </x:c>
      <x:c r="G10" t="str">
        <x:v>g</x:v>
      </x:c>
    </x:row>
    <x:row r="11">
      <x:c r="A11" t="str">
        <x:v>base_link</x:v>
      </x:c>
      <x:c r="B11" t="str">
        <x:v>base_link_rear</x:v>
      </x:c>
      <x:c r="C11">
        <x:v>49</x:v>
      </x:c>
      <x:c r="D11" t="str">
        <x:v>g</x:v>
      </x:c>
      <x:c r="E11">
        <x:v>1</x:v>
      </x:c>
      <x:c r="F11">
        <x:f t="shared" si="0"/>
        <x:v>49</x:v>
      </x:c>
      <x:c r="G11" t="str">
        <x:v>g</x:v>
      </x:c>
      <x:c r="I11" t="str">
        <x:v>Somma CAD</x:v>
      </x:c>
      <x:c r="J11" t="n">
        <x:f>F33-F16+SUM(M6:M8)</x:f>
        <x:v>2768.2</x:v>
      </x:c>
      <x:c r="K11" t="str">
        <x:v>g</x:v>
      </x:c>
      <x:c r="L11" t="str">
        <x:v>(rimossa Jetson Orin)</x:v>
      </x:c>
    </x:row>
    <x:row r="12">
      <x:c r="A12" t="str">
        <x:v>base_link</x:v>
      </x:c>
      <x:c r="B12" t="str">
        <x:v>vite M3.5 x 20 autof.</x:v>
      </x:c>
      <x:c r="C12">
        <x:v>2.5</x:v>
      </x:c>
      <x:c r="D12" t="str">
        <x:v>g</x:v>
      </x:c>
      <x:c r="E12">
        <x:v>4</x:v>
      </x:c>
      <x:c r="F12">
        <x:f t="shared" si="0"/>
        <x:v>10</x:v>
      </x:c>
      <x:c r="G12" t="str">
        <x:v>g</x:v>
      </x:c>
    </x:row>
    <x:row r="13">
      <x:c r="A13" t="str">
        <x:v>base_link</x:v>
      </x:c>
      <x:c r="B13" t="str">
        <x:v>base_link__main_chassis</x:v>
      </x:c>
      <x:c r="C13">
        <x:v>283</x:v>
      </x:c>
      <x:c r="D13" t="str">
        <x:v>g</x:v>
      </x:c>
      <x:c r="E13">
        <x:v>1</x:v>
      </x:c>
      <x:c r="F13">
        <x:f t="shared" si="0"/>
        <x:v>283</x:v>
      </x:c>
      <x:c r="G13" t="str">
        <x:v>g</x:v>
      </x:c>
      <x:c r="I13" t="str">
        <x:v>Diff</x:v>
      </x:c>
      <x:c r="J13" t="n">
        <x:f>J2-J11</x:f>
        <x:v>38.80000000000018</x:v>
      </x:c>
      <x:c r="K13" t="str">
        <x:v>g</x:v>
      </x:c>
      <x:c r="L13" t="n">
        <x:f>1-J2/J11</x:f>
        <x:v>-0.014016328299978342</x:v>
      </x:c>
    </x:row>
    <x:row r="14">
      <x:c r="A14" t="str">
        <x:v>base_link</x:v>
      </x:c>
      <x:c r="B14" t="str">
        <x:v>base_link__body_cover</x:v>
      </x:c>
      <x:c r="C14">
        <x:v>86</x:v>
      </x:c>
      <x:c r="D14" t="str">
        <x:v>g</x:v>
      </x:c>
      <x:c r="E14">
        <x:v>1</x:v>
      </x:c>
      <x:c r="F14">
        <x:f t="shared" si="0"/>
        <x:v>86</x:v>
      </x:c>
      <x:c r="G14" t="str">
        <x:v>g</x:v>
      </x:c>
    </x:row>
    <x:row r="15">
      <x:c r="A15" t="str">
        <x:v>base_link</x:v>
      </x:c>
      <x:c r="B15" t="str">
        <x:v>base_link__battery_cover</x:v>
      </x:c>
      <x:c r="C15">
        <x:v>41</x:v>
      </x:c>
      <x:c r="D15" t="str">
        <x:v>g</x:v>
      </x:c>
      <x:c r="E15">
        <x:v>1</x:v>
      </x:c>
      <x:c r="F15">
        <x:f t="shared" si="0"/>
        <x:v>41</x:v>
      </x:c>
      <x:c r="G15" t="str">
        <x:v>g</x:v>
      </x:c>
    </x:row>
    <x:row r="16">
      <x:c r="A16" t="str">
        <x:v>base_link</x:v>
      </x:c>
      <x:c r="B16" t="str">
        <x:v>base_link__jetson_orin_nano</x:v>
      </x:c>
      <x:c r="C16">
        <x:v>175</x:v>
      </x:c>
      <x:c r="D16" t="str">
        <x:v>g</x:v>
      </x:c>
      <x:c r="E16">
        <x:v>1</x:v>
      </x:c>
      <x:c r="F16">
        <x:f t="shared" si="0"/>
        <x:v>175</x:v>
      </x:c>
      <x:c r="G16" t="str">
        <x:v>g</x:v>
      </x:c>
      <x:c r="I16" t="str">
        <x:v>evidenze misurate</x:v>
      </x:c>
      <x:c r="J16"/>
      <x:c r="K16"/>
    </x:row>
    <x:row r="17">
      <x:c r="A17" t="str">
        <x:v>base_link</x:v>
      </x:c>
      <x:c r="B17" t="str">
        <x:v>base_link__battery_3s_9000mah</x:v>
      </x:c>
      <x:c r="C17">
        <x:v>561</x:v>
      </x:c>
      <x:c r="D17" t="str">
        <x:v>g</x:v>
      </x:c>
      <x:c r="E17">
        <x:v>1</x:v>
      </x:c>
      <x:c r="F17">
        <x:f t="shared" si="0"/>
        <x:v>561</x:v>
      </x:c>
      <x:c r="G17" t="str">
        <x:v>g</x:v>
      </x:c>
    </x:row>
    <x:row r="18">
      <x:c r="A18" t="str">
        <x:v>base_link</x:v>
      </x:c>
      <x:c r="B18" t="str">
        <x:v>Adafruit_BNO085_STEMMA_QT</x:v>
      </x:c>
      <x:c r="C18">
        <x:v>5</x:v>
      </x:c>
      <x:c r="D18" t="str">
        <x:v>g</x:v>
      </x:c>
      <x:c r="E18">
        <x:v>1</x:v>
      </x:c>
      <x:c r="F18">
        <x:f t="shared" si="0"/>
        <x:v>5</x:v>
      </x:c>
      <x:c r="G18" t="str">
        <x:v>g</x:v>
      </x:c>
      <x:c r="I18" t="str">
        <x:v>motor housing</x:v>
      </x:c>
      <x:c r="J18">
        <x:v>58</x:v>
      </x:c>
      <x:c r="K18" t="str">
        <x:v>g</x:v>
      </x:c>
    </x:row>
    <x:row r="19">
      <x:c r="A19" t="str">
        <x:v>base_link</x:v>
      </x:c>
      <x:c r="B19" t="str">
        <x:v>Daly_Smart_BMS_H-series_3S_60A</x:v>
      </x:c>
      <x:c r="C19">
        <x:v>133</x:v>
      </x:c>
      <x:c r="D19" t="str">
        <x:v>g</x:v>
      </x:c>
      <x:c r="E19">
        <x:v>1</x:v>
      </x:c>
      <x:c r="F19">
        <x:f t="shared" si="0"/>
        <x:v>133</x:v>
      </x:c>
      <x:c r="G19" t="str">
        <x:v>g</x:v>
      </x:c>
      <x:c r="I19" t="str">
        <x:v>servo cable+4xM2.5</x:v>
      </x:c>
      <x:c r="J19">
        <x:v>1.5</x:v>
      </x:c>
      <x:c r="K19" t="str">
        <x:v>g</x:v>
      </x:c>
    </x:row>
    <x:row r="20">
      <x:c r="A20" t="str">
        <x:v>base_link</x:v>
      </x:c>
      <x:c r="B20" t="str">
        <x:v>base_link__BMS_holder</x:v>
      </x:c>
      <x:c r="C20">
        <x:v>4</x:v>
      </x:c>
      <x:c r="D20" t="str">
        <x:v>g</x:v>
      </x:c>
      <x:c r="E20">
        <x:v>1</x:v>
      </x:c>
      <x:c r="F20">
        <x:f t="shared" si="0"/>
        <x:v>4</x:v>
      </x:c>
      <x:c r="G20" t="str">
        <x:v>g</x:v>
      </x:c>
      <x:c r="I20" t="str">
        <x:v>horn</x:v>
      </x:c>
      <x:c r="J20">
        <x:v>2</x:v>
      </x:c>
      <x:c r="K20" t="str">
        <x:v>g</x:v>
      </x:c>
    </x:row>
    <x:row r="21">
      <x:c r="A21" t="str">
        <x:v>base_link</x:v>
      </x:c>
      <x:c r="B21" t="str">
        <x:v>motion_controller__bracket</x:v>
      </x:c>
      <x:c r="C21">
        <x:v>9</x:v>
      </x:c>
      <x:c r="D21" t="str">
        <x:v>g</x:v>
      </x:c>
      <x:c r="E21">
        <x:v>1</x:v>
      </x:c>
      <x:c r="F21">
        <x:f t="shared" si="0"/>
        <x:v>9</x:v>
      </x:c>
      <x:c r="G21" t="str">
        <x:v>g</x:v>
      </x:c>
      <x:c r="I21" t="str">
        <x:v>idler_horn</x:v>
      </x:c>
      <x:c r="J21">
        <x:v>1.25</x:v>
      </x:c>
      <x:c r="K21" t="str">
        <x:v>g</x:v>
      </x:c>
    </x:row>
    <x:row r="22">
      <x:c r="A22" t="str">
        <x:v>base_link</x:v>
      </x:c>
      <x:c r="B22" t="str">
        <x:v>motion_controller__shield</x:v>
      </x:c>
      <x:c r="C22">
        <x:v>21</x:v>
      </x:c>
      <x:c r="D22" t="str">
        <x:v>g</x:v>
      </x:c>
      <x:c r="E22">
        <x:v>1</x:v>
      </x:c>
      <x:c r="F22">
        <x:f t="shared" si="0"/>
        <x:v>21</x:v>
      </x:c>
      <x:c r="G22" t="str">
        <x:v>g</x:v>
      </x:c>
      <x:c r="I22" t="str">
        <x:v>vite M3x6</x:v>
      </x:c>
      <x:c r="J22">
        <x:v>0.7</x:v>
      </x:c>
      <x:c r="K22" t="str">
        <x:v>g</x:v>
      </x:c>
    </x:row>
    <x:row r="23">
      <x:c r="A23" t="str">
        <x:v>base_link</x:v>
      </x:c>
      <x:c r="B23" t="str">
        <x:v>ESP32_S3_WROOM</x:v>
      </x:c>
      <x:c r="C23">
        <x:v>12</x:v>
      </x:c>
      <x:c r="D23" t="str">
        <x:v>g</x:v>
      </x:c>
      <x:c r="E23">
        <x:v>1</x:v>
      </x:c>
      <x:c r="F23">
        <x:f t="shared" si="0"/>
        <x:v>12</x:v>
      </x:c>
      <x:c r="G23" t="str">
        <x:v>g</x:v>
      </x:c>
    </x:row>
    <x:row r="24">
      <x:c r="A24" t="str">
        <x:v>base_link</x:v>
      </x:c>
      <x:c r="B24" t="str">
        <x:v>led_ring_d38_WS2812</x:v>
      </x:c>
      <x:c r="C24">
        <x:v>4</x:v>
      </x:c>
      <x:c r="D24" t="str">
        <x:v>g</x:v>
      </x:c>
      <x:c r="E24">
        <x:v>1</x:v>
      </x:c>
      <x:c r="F24">
        <x:f t="shared" si="0"/>
        <x:v>4</x:v>
      </x:c>
      <x:c r="G24" t="str">
        <x:v>g</x:v>
      </x:c>
      <x:c r="I24" t="str">
        <x:v>hip_leg_link</x:v>
      </x:c>
      <x:c r="J24">
        <x:v>31</x:v>
      </x:c>
      <x:c r="K24" t="str">
        <x:v>g</x:v>
      </x:c>
    </x:row>
    <x:row r="25">
      <x:c r="A25" t="str">
        <x:v>base_link</x:v>
      </x:c>
      <x:c r="B25" t="str">
        <x:v>key_toggle_switch</x:v>
      </x:c>
      <x:c r="C25">
        <x:v>1</x:v>
      </x:c>
      <x:c r="D25" t="str">
        <x:v>g</x:v>
      </x:c>
      <x:c r="E25">
        <x:v>1</x:v>
      </x:c>
      <x:c r="F25">
        <x:f t="shared" si="0"/>
        <x:v>1</x:v>
      </x:c>
      <x:c r="G25" t="str">
        <x:v>g</x:v>
      </x:c>
    </x:row>
    <x:row r="26">
      <x:c r="A26" t="str">
        <x:v>base_link</x:v>
      </x:c>
      <x:c r="B26" t="str">
        <x:v>cover_led_logo</x:v>
      </x:c>
      <x:c r="C26">
        <x:v>4</x:v>
      </x:c>
      <x:c r="D26" t="str">
        <x:v>g</x:v>
      </x:c>
      <x:c r="E26">
        <x:v>1</x:v>
      </x:c>
      <x:c r="F26">
        <x:f t="shared" si="0"/>
        <x:v>4</x:v>
      </x:c>
      <x:c r="G26" t="str">
        <x:v>g</x:v>
      </x:c>
      <x:c r="I26" t="str">
        <x:v>upper leg link</x:v>
      </x:c>
      <x:c r="J26">
        <x:v>30</x:v>
      </x:c>
      <x:c r="K26" t="str">
        <x:v>g</x:v>
      </x:c>
    </x:row>
    <x:row r="27">
      <x:c r="A27" t="str">
        <x:v>base_link</x:v>
      </x:c>
      <x:c r="B27" t="str">
        <x:v>SEED_Bus_Servo_Driver_Board</x:v>
      </x:c>
      <x:c r="C27">
        <x:v>10</x:v>
      </x:c>
      <x:c r="D27" t="str">
        <x:v>g</x:v>
      </x:c>
      <x:c r="E27">
        <x:v>1</x:v>
      </x:c>
      <x:c r="F27">
        <x:f t="shared" si="0"/>
        <x:v>10</x:v>
      </x:c>
      <x:c r="G27" t="str">
        <x:v>g</x:v>
      </x:c>
      <x:c r="I27" t="str">
        <x:v>upper leg cover</x:v>
      </x:c>
      <x:c r="J27">
        <x:v>3</x:v>
      </x:c>
      <x:c r="K27" t="str">
        <x:v>g</x:v>
      </x:c>
    </x:row>
    <x:row r="28">
      <x:c r="A28" t="str">
        <x:v>base_link</x:v>
      </x:c>
      <x:c r="B28" t="str">
        <x:v>servo_power_board</x:v>
      </x:c>
      <x:c r="C28">
        <x:v>32</x:v>
      </x:c>
      <x:c r="D28" t="str">
        <x:v>g</x:v>
      </x:c>
      <x:c r="E28">
        <x:v>1</x:v>
      </x:c>
      <x:c r="F28">
        <x:f t="shared" si="0"/>
        <x:v>32</x:v>
      </x:c>
      <x:c r="G28" t="str">
        <x:v>g</x:v>
      </x:c>
    </x:row>
    <x:row r="29">
      <x:c r="A29" t="str">
        <x:v>base_link</x:v>
      </x:c>
      <x:c r="B29" t="str">
        <x:v>dado m4 flang</x:v>
      </x:c>
      <x:c r="C29">
        <x:v>1</x:v>
      </x:c>
      <x:c r="D29" t="str">
        <x:v>g</x:v>
      </x:c>
      <x:c r="E29">
        <x:v>2</x:v>
      </x:c>
      <x:c r="F29">
        <x:f t="shared" si="0"/>
        <x:v>2</x:v>
      </x:c>
      <x:c r="G29" t="str">
        <x:v>g</x:v>
      </x:c>
      <x:c r="I29" t="str">
        <x:v>lower_leg_link</x:v>
      </x:c>
      <x:c r="J29">
        <x:v>46.5</x:v>
      </x:c>
      <x:c r="K29" t="str">
        <x:v>g</x:v>
      </x:c>
    </x:row>
    <x:row r="30">
      <x:c r="A30" t="str">
        <x:v>base_link</x:v>
      </x:c>
      <x:c r="B30" t="str">
        <x:v>BT dongle Daly</x:v>
      </x:c>
      <x:c r="C30">
        <x:v>28</x:v>
      </x:c>
      <x:c r="D30" t="str">
        <x:v>g</x:v>
      </x:c>
      <x:c r="E30">
        <x:v>1</x:v>
      </x:c>
      <x:c r="F30">
        <x:f t="shared" si="0"/>
        <x:v>28</x:v>
      </x:c>
      <x:c r="G30" t="str">
        <x:v>g</x:v>
      </x:c>
    </x:row>
    <x:row r="31">
      <x:c r="A31" t="str">
        <x:v>base_link</x:v>
      </x:c>
      <x:c r="B31" t="str">
        <x:v>viti autofilettanti (peso medio)</x:v>
      </x:c>
      <x:c r="C31">
        <x:v>1.2</x:v>
      </x:c>
      <x:c r="D31" t="str">
        <x:v>g</x:v>
      </x:c>
      <x:c r="E31">
        <x:v>18</x:v>
      </x:c>
      <x:c r="F31">
        <x:f t="shared" si="0"/>
        <x:v>21.599999999999998</x:v>
      </x:c>
      <x:c r="G31" t="str">
        <x:v>g</x:v>
      </x:c>
      <x:c r="I31" t="str">
        <x:v>rubber_foot</x:v>
      </x:c>
      <x:c r="J31">
        <x:v>6.5</x:v>
      </x:c>
      <x:c r="K31" t="str">
        <x:v>g</x:v>
      </x:c>
    </x:row>
    <x:row r="33">
      <x:c r="B33" t="str">
        <x:v>Somma analitica Base_link senza motor joint x 5</x:v>
      </x:c>
      <x:c r="E33" t="str">
        <x:v>sub. Tot.</x:v>
      </x:c>
      <x:c r="F33" t="n">
        <x:f>SUM(F2:F31)</x:f>
        <x:v>1539.6</x:v>
      </x:c>
      <x:c r="G33" t="str">
        <x:v>gr</x:v>
      </x:c>
      <x:c r="I33" t="str">
        <x:v>vite M5x12 TBEI</x:v>
      </x:c>
      <x:c r="J33">
        <x:v>2.25</x:v>
      </x:c>
      <x:c r="K33" t="str">
        <x:v>g</x:v>
      </x:c>
    </x:row>
    <x:row r="34">
      <x:c r="I34" t="str">
        <x:v>dado m5</x:v>
      </x:c>
      <x:c r="J34">
        <x:v>1.5</x:v>
      </x:c>
      <x:c r="K34" t="str">
        <x:v>g</x:v>
      </x:c>
    </x:row>
    <x:row r="36">
      <x:c r="A36" t="str">
        <x:v>group</x:v>
      </x:c>
      <x:c r="B36" t="str">
        <x:v>part</x:v>
      </x:c>
      <x:c r="C36" t="str">
        <x:v>Unit.</x:v>
      </x:c>
      <x:c r="D36"/>
      <x:c r="E36" t="str">
        <x:v>Q.ty</x:v>
      </x:c>
      <x:c r="F36" t="str">
        <x:v>Tot.</x:v>
      </x:c>
      <x:c r="I36" t="str">
        <x:v>base_link</x:v>
      </x:c>
      <x:c r="J36">
        <x:v>283</x:v>
      </x:c>
      <x:c r="K36" t="str">
        <x:v>g</x:v>
      </x:c>
    </x:row>
    <x:row r="37">
      <x:c r="A37" t="str">
        <x:v>*hip_leg_link</x:v>
      </x:c>
      <x:c r="B37" t="str">
        <x:v>*_hip_link</x:v>
      </x:c>
      <x:c r="C37" t="n">
        <x:f>J24</x:f>
        <x:v>31</x:v>
      </x:c>
      <x:c r="D37" t="str">
        <x:v>g</x:v>
      </x:c>
      <x:c r="E37">
        <x:v>1</x:v>
      </x:c>
      <x:c r="F37" t="n">
        <x:f>C37*E37</x:f>
        <x:v>31</x:v>
      </x:c>
    </x:row>
    <x:row r="38">
      <x:c r="A38" t="str">
        <x:v>*hip_leg_link</x:v>
      </x:c>
      <x:c r="B38" t="str">
        <x:v>horn</x:v>
      </x:c>
      <x:c r="C38" t="n">
        <x:f>J20</x:f>
        <x:v>2</x:v>
      </x:c>
      <x:c r="D38" t="str">
        <x:v>g</x:v>
      </x:c>
      <x:c r="E38">
        <x:v>2</x:v>
      </x:c>
      <x:c r="F38" t="n">
        <x:f t="shared" ref="F38:F40" si="1">C38*E38</x:f>
        <x:v>4</x:v>
      </x:c>
    </x:row>
    <x:row r="39">
      <x:c r="A39" t="str">
        <x:v>*hip_leg_link</x:v>
      </x:c>
      <x:c r="B39" t="str">
        <x:v>idler horn</x:v>
      </x:c>
      <x:c r="C39" t="n">
        <x:f>J21</x:f>
        <x:v>1.25</x:v>
      </x:c>
      <x:c r="D39" t="str">
        <x:v>g</x:v>
      </x:c>
      <x:c r="E39">
        <x:v>2</x:v>
      </x:c>
      <x:c r="F39">
        <x:f t="shared" si="1"/>
        <x:v>2.5</x:v>
      </x:c>
    </x:row>
    <x:row r="40">
      <x:c r="A40" t="str">
        <x:v>*hip_leg_link</x:v>
      </x:c>
      <x:c r="B40" t="str">
        <x:v>vite M3x6</x:v>
      </x:c>
      <x:c r="C40" t="n">
        <x:f>J22</x:f>
        <x:v>0.7</x:v>
      </x:c>
      <x:c r="D40" t="str">
        <x:v>g</x:v>
      </x:c>
      <x:c r="E40">
        <x:v>18</x:v>
      </x:c>
      <x:c r="F40">
        <x:f t="shared" si="1"/>
        <x:v>12.6</x:v>
      </x:c>
    </x:row>
    <x:row r="41">
      <x:c r="E41" t="str">
        <x:v>Tot. Analit.</x:v>
      </x:c>
      <x:c r="F41" t="n">
        <x:f>SUM(F37:F40)</x:f>
        <x:v>50.1</x:v>
      </x:c>
    </x:row>
    <x:row r="42">
      <x:c r="E42" t="str">
        <x:v>Tot. CAD</x:v>
      </x:c>
      <x:c r="F42">
        <x:v>50</x:v>
      </x:c>
    </x:row>
    <x:row r="43">
      <x:c r="E43" t="str">
        <x:v>% CAD</x:v>
      </x:c>
      <x:c r="F43" t="n">
        <x:f>ABS(1-(F42/F41))</x:f>
        <x:v>0.001996007984031989</x:v>
      </x:c>
    </x:row>
    <x:row r="45">
      <x:c r="A45" t="str">
        <x:v>*upper_leg_link</x:v>
      </x:c>
      <x:c r="B45" t="str">
        <x:v>main__upper_leg_link</x:v>
      </x:c>
      <x:c r="C45" t="n">
        <x:f>J26</x:f>
        <x:v>30</x:v>
      </x:c>
      <x:c r="D45" t="str">
        <x:v>g</x:v>
      </x:c>
      <x:c r="E45">
        <x:v>1</x:v>
      </x:c>
      <x:c r="F45" t="n">
        <x:f>C45*E45</x:f>
        <x:v>30</x:v>
      </x:c>
    </x:row>
    <x:row r="46">
      <x:c r="A46" t="str">
        <x:v>*upper_leg_link</x:v>
      </x:c>
      <x:c r="B46" t="str">
        <x:v>cover__upper_leg_link</x:v>
      </x:c>
      <x:c r="C46" t="n">
        <x:f>J27</x:f>
        <x:v>3</x:v>
      </x:c>
      <x:c r="D46" t="str">
        <x:v>g</x:v>
      </x:c>
      <x:c r="E46">
        <x:v>1</x:v>
      </x:c>
      <x:c r="F46" t="n">
        <x:f t="shared" ref="F46:F48" si="2">C46*E46</x:f>
        <x:v>3</x:v>
      </x:c>
    </x:row>
    <x:row r="47">
      <x:c r="A47" t="str">
        <x:v>*upper_leg_link</x:v>
      </x:c>
      <x:c r="B47" t="str">
        <x:v>joint__servo_ST3215_body</x:v>
      </x:c>
      <x:c r="C47" t="n">
        <x:f>J18</x:f>
        <x:v>58</x:v>
      </x:c>
      <x:c r="D47" t="str">
        <x:v>g</x:v>
      </x:c>
      <x:c r="E47">
        <x:v>2</x:v>
      </x:c>
      <x:c r="F47">
        <x:f t="shared" si="2"/>
        <x:v>116</x:v>
      </x:c>
    </x:row>
    <x:row r="48">
      <x:c r="B48" t="str">
        <x:v>motor cable</x:v>
      </x:c>
      <x:c r="C48" t="n">
        <x:f>J19</x:f>
        <x:v>1.5</x:v>
      </x:c>
      <x:c r="D48" t="str">
        <x:v>g</x:v>
      </x:c>
      <x:c r="E48">
        <x:v>2</x:v>
      </x:c>
      <x:c r="F48">
        <x:f t="shared" si="2"/>
        <x:v>3</x:v>
      </x:c>
    </x:row>
    <x:row r="49">
      <x:c r="E49" t="str">
        <x:v>Tot. Analit.</x:v>
      </x:c>
      <x:c r="F49" t="n">
        <x:f>SUM(F45:F48)</x:f>
        <x:v>152</x:v>
      </x:c>
    </x:row>
    <x:row r="50">
      <x:c r="E50" t="str">
        <x:v>Tot. CAD</x:v>
      </x:c>
      <x:c r="F50">
        <x:v>152</x:v>
      </x:c>
    </x:row>
    <x:row r="51">
      <x:c r="E51" t="str">
        <x:v>% CAD</x:v>
      </x:c>
      <x:c r="F51" t="n">
        <x:f>ABS(1-(F50/F49))</x:f>
        <x:v>0</x:v>
      </x:c>
    </x:row>
    <x:row r="53">
      <x:c r="A53" t="str">
        <x:v>*lower_leg_link</x:v>
      </x:c>
      <x:c r="B53" t="str">
        <x:v>*_lower_leg_link</x:v>
      </x:c>
      <x:c r="C53" t="n">
        <x:f>J29</x:f>
        <x:v>46.5</x:v>
      </x:c>
      <x:c r="D53" t="str">
        <x:v>g</x:v>
      </x:c>
      <x:c r="E53">
        <x:v>1</x:v>
      </x:c>
      <x:c r="F53" t="n">
        <x:f>C53*E53</x:f>
        <x:v>46.5</x:v>
      </x:c>
    </x:row>
    <x:row r="54">
      <x:c r="A54" t="str">
        <x:v>*lower_leg_link</x:v>
      </x:c>
      <x:c r="B54" t="str">
        <x:v>horn</x:v>
      </x:c>
      <x:c r="C54" t="n">
        <x:f>J20</x:f>
        <x:v>2</x:v>
      </x:c>
      <x:c r="D54" t="str">
        <x:v>g</x:v>
      </x:c>
      <x:c r="E54">
        <x:v>2</x:v>
      </x:c>
      <x:c r="F54" t="n">
        <x:f t="shared" ref="F54:F56" si="3">C54*E54</x:f>
        <x:v>4</x:v>
      </x:c>
    </x:row>
    <x:row r="55">
      <x:c r="A55" t="str">
        <x:v>*lower_leg_link</x:v>
      </x:c>
      <x:c r="B55" t="str">
        <x:v>idler horn</x:v>
      </x:c>
      <x:c r="C55" t="n">
        <x:f>J21</x:f>
        <x:v>1.25</x:v>
      </x:c>
      <x:c r="D55" t="str">
        <x:v>g</x:v>
      </x:c>
      <x:c r="E55">
        <x:v>2</x:v>
      </x:c>
      <x:c r="F55">
        <x:f t="shared" si="3"/>
        <x:v>2.5</x:v>
      </x:c>
    </x:row>
    <x:row r="56">
      <x:c r="A56" t="str">
        <x:v>*lower_leg_link</x:v>
      </x:c>
      <x:c r="B56" t="str">
        <x:v>vite M3x6</x:v>
      </x:c>
      <x:c r="C56" t="n">
        <x:f>J22</x:f>
        <x:v>0.7</x:v>
      </x:c>
      <x:c r="D56" t="str">
        <x:v>g</x:v>
      </x:c>
      <x:c r="E56">
        <x:v>9</x:v>
      </x:c>
      <x:c r="F56">
        <x:f t="shared" si="3"/>
        <x:v>6.3</x:v>
      </x:c>
    </x:row>
    <x:row r="57">
      <x:c r="E57" t="str">
        <x:v>Tot. Analit.</x:v>
      </x:c>
      <x:c r="F57" t="n">
        <x:f>SUM(F53:F56)</x:f>
        <x:v>59.3</x:v>
      </x:c>
    </x:row>
    <x:row r="58">
      <x:c r="E58" t="str">
        <x:v>Tot. CAD</x:v>
      </x:c>
      <x:c r="F58">
        <x:v>59</x:v>
      </x:c>
    </x:row>
    <x:row r="59">
      <x:c r="E59" t="str">
        <x:v>% CAD</x:v>
      </x:c>
      <x:c r="F59" t="n">
        <x:f>ABS(1-(F58/F57))</x:f>
        <x:v>0.005059021922428242</x:v>
      </x:c>
    </x:row>
    <x:row r="61">
      <x:c r="A61" t="str">
        <x:v>*foot_leg_link</x:v>
      </x:c>
      <x:c r="B61" t="str">
        <x:v>*_feet_leg_link</x:v>
      </x:c>
      <x:c r="C61" t="n">
        <x:f>J31</x:f>
        <x:v>6.5</x:v>
      </x:c>
      <x:c r="D61" t="str">
        <x:v>g</x:v>
      </x:c>
      <x:c r="E61">
        <x:v>1</x:v>
      </x:c>
      <x:c r="F61" t="n">
        <x:f>C61*E61</x:f>
        <x:v>6.5</x:v>
      </x:c>
    </x:row>
    <x:row r="62">
      <x:c r="A62" t="str">
        <x:v>*foot_leg_link</x:v>
      </x:c>
      <x:c r="B62" t="str">
        <x:v>vite M5x12 TBEI</x:v>
      </x:c>
      <x:c r="C62" t="n">
        <x:f>J33</x:f>
        <x:v>2.25</x:v>
      </x:c>
      <x:c r="D62" t="str">
        <x:v>g</x:v>
      </x:c>
      <x:c r="E62">
        <x:v>2</x:v>
      </x:c>
      <x:c r="F62" t="n">
        <x:f t="shared" ref="F62:F63" si="4">C62*E62</x:f>
        <x:v>4.5</x:v>
      </x:c>
    </x:row>
    <x:row r="63">
      <x:c r="A63" t="str">
        <x:v>*foot_leg_link</x:v>
      </x:c>
      <x:c r="B63" t="str">
        <x:v>dado m5</x:v>
      </x:c>
      <x:c r="C63" t="n">
        <x:f>J34</x:f>
        <x:v>1.5</x:v>
      </x:c>
      <x:c r="D63" t="str">
        <x:v>g</x:v>
      </x:c>
      <x:c r="E63">
        <x:v>2</x:v>
      </x:c>
      <x:c r="F63">
        <x:f t="shared" si="4"/>
        <x:v>3</x:v>
      </x:c>
    </x:row>
    <x:row r="64">
      <x:c r="B64"/>
      <x:c r="E64" t="str">
        <x:v>Tot. Analit.</x:v>
      </x:c>
      <x:c r="F64" t="n">
        <x:f>SUM(F61:F63)</x:f>
        <x:v>14</x:v>
      </x:c>
    </x:row>
    <x:row r="65">
      <x:c r="E65" t="str">
        <x:v>Tot. CAD</x:v>
      </x:c>
      <x:c r="F65">
        <x:v>14</x:v>
      </x:c>
    </x:row>
    <x:row r="66">
      <x:c r="E66" t="str">
        <x:v>% CAD</x:v>
      </x:c>
      <x:c r="F66" t="n">
        <x:f>ABS(1-(F65/F64))</x:f>
        <x:v>0</x:v>
      </x:c>
    </x:row>
    <x:row r="68">
      <x:c r="E68" t="str">
        <x:v>TOTALE ZAMPA</x:v>
      </x:c>
      <x:c r="F68"/>
    </x:row>
    <x:row r="69">
      <x:c r="E69" t="str">
        <x:v>Tot. Analit.</x:v>
      </x:c>
      <x:c r="F69" t="n">
        <x:f>SUM(F41+F49+F57+F64)</x:f>
        <x:v>275.4</x:v>
      </x:c>
    </x:row>
    <x:row r="70">
      <x:c r="E70" t="str">
        <x:v>Tot. CAD</x:v>
      </x:c>
      <x:c r="F70" t="n">
        <x:f>SUM(F42+F50+F58+F65)</x:f>
        <x:v>275</x:v>
      </x:c>
    </x:row>
    <x:row r="71">
      <x:c r="E71" t="str">
        <x:v>% CAD</x:v>
      </x:c>
      <x:c r="F71" t="n">
        <x:f>ABS(1-(F70/F69))</x:f>
        <x:v>0.001452432824981753</x:v>
      </x:c>
    </x:row>
  </x:sheetData>
  <x:mergeCells>
    <x:mergeCell ref="I16:K1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8" hidden="0" customWidth="1"/>
    <x:col min="2" max="2" width="16" hidden="0" customWidth="1"/>
    <x:col min="3" max="3" width="61" hidden="0" customWidth="1"/>
    <x:col min="5" max="5" width="22" hidden="0" customWidth="1"/>
    <x:col min="6" max="6" width="19" hidden="0" customWidth="1"/>
    <x:col min="7" max="7" width="20" hidden="0" customWidth="1"/>
    <x:col min="8" max="8" width="56" hidden="0" customWidth="1"/>
    <x:col min="4" max="4" width="3" hidden="0" customWidth="1"/>
  </x:cols>
  <x:sheetData>
    <x:row r="1" ht="29" customHeight="1">
      <x:c r="A1" s="436" t="str">
        <x:v>ST3215 — CURVA COPPIA/VELOCITA' STIMATA @ 3S NOMINALE</x:v>
      </x:c>
      <x:c r="B1" s="436"/>
      <x:c r="C1" s="436"/>
      <x:c r="D1" s="436"/>
      <x:c r="E1" s="436"/>
      <x:c r="F1" s="436"/>
      <x:c r="G1" s="436"/>
      <x:c r="H1" s="436"/>
    </x:row>
    <x:row r="2" ht="30" customHeight="1">
      <x:c r="A2" s="408" t="str">
        <x:v>45 RPM a vuoto @12 V (Feetech); 40 RPM = tetto progetto quasi a vuoto @11,1 V; la curva è una stima, NON una misura su hardware.</x:v>
      </x:c>
      <x:c r="B2" s="408"/>
      <x:c r="C2" s="408"/>
      <x:c r="D2" s="408"/>
      <x:c r="E2" s="418" t="str">
        <x:v>ST3215 — stima ESPLORATIVA carico/velocità a 3S, non curva ufficiale 11,1 V</x:v>
      </x:c>
      <x:c r="F2" s="418"/>
      <x:c r="G2" s="418"/>
      <x:c r="H2" s="418"/>
    </x:row>
    <x:row r="3" ht="42" customHeight="1">
      <x:c r="A3" s="409" t="str">
        <x:v>Tensione di prova dichiarata Feetech [V]</x:v>
      </x:c>
      <x:c r="B3" s="153" t="n">
        <x:v>12</x:v>
      </x:c>
      <x:c r="C3" t="str">
        <x:v>Dato di targa</x:v>
      </x:c>
      <x:c r="E3" s="426" t="str">
        <x:v>Coppia richiesta [kg·cm]</x:v>
      </x:c>
      <x:c r="F3" s="426" t="str">
        <x:v>RPM stimati @11,1 V</x:v>
      </x:c>
      <x:c r="G3" s="426" t="str">
        <x:v>Velocità [rad/s]</x:v>
      </x:c>
      <x:c r="H3" s="426" t="str">
        <x:v>Qualifica della stima</x:v>
      </x:c>
    </x:row>
    <x:row r="4">
      <x:c r="A4" s="409" t="str">
        <x:v>Velocità ST3215 a V prova [RPM]</x:v>
      </x:c>
      <x:c r="B4" s="153" t="n">
        <x:v>45</x:v>
      </x:c>
      <x:c r="C4" t="str">
        <x:v>A vuoto; non prestazione garantita sotto carico</x:v>
      </x:c>
      <x:c r="E4" s="421" t="n">
        <x:v>0</x:v>
      </x:c>
      <x:c r="F4" s="421" t="n">
        <x:f>MAX(0,MIN($B$7,$B$6-($B$4/$B$14)*E4))</x:f>
        <x:v>40</x:v>
      </x:c>
      <x:c r="G4" s="421" t="n">
        <x:f>F4*2*PI()/60</x:f>
        <x:v>4.1887902047863905</x:v>
      </x:c>
      <x:c r="H4" t="str">
        <x:v>A vuoto (tetto progetto)</x:v>
      </x:c>
    </x:row>
    <x:row r="5">
      <x:c r="A5" s="409" t="str">
        <x:v>Tensione nominale pacco batteria 3S [V]</x:v>
      </x:c>
      <x:c r="B5" s="153" t="n">
        <x:v>11.1</x:v>
      </x:c>
      <x:c r="C5" t="str">
        <x:v>Valore nominale, varia durante la scarica</x:v>
      </x:c>
      <x:c r="E5" s="421" t="n">
        <x:v>1</x:v>
      </x:c>
      <x:c r="F5" s="421" t="n">
        <x:f>MAX(0,MIN($B$7,$B$6-($B$4/$B$14)*E5))</x:f>
        <x:v>40</x:v>
      </x:c>
      <x:c r="G5" s="421" t="n">
        <x:f>F5*2*PI()/60</x:f>
        <x:v>4.1887902047863905</x:v>
      </x:c>
      <x:c r="H5" t="str">
        <x:v>Stima lineare indicativa, non misurata</x:v>
      </x:c>
    </x:row>
    <x:row r="6">
      <x:c r="A6" s="409" t="str">
        <x:v>Velocità stimata proporzionale alla tensione [RPM]</x:v>
      </x:c>
      <x:c r="B6" s="153" t="n">
        <x:f>B4*B5/B3</x:f>
        <x:v>41.625</x:v>
      </x:c>
      <x:c r="C6" t="str">
        <x:v>Approssimazione lineare non misurata a 11,1 V</x:v>
      </x:c>
      <x:c r="E6" s="421" t="n">
        <x:v>2</x:v>
      </x:c>
      <x:c r="F6" s="421" t="n">
        <x:f>MAX(0,MIN($B$7,$B$6-($B$4/$B$14)*E6))</x:f>
        <x:v>38.625</x:v>
      </x:c>
      <x:c r="G6" s="421" t="n">
        <x:f>F6*2*PI()/60</x:f>
        <x:v>4.044800541496858</x:v>
      </x:c>
      <x:c r="H6" t="str">
        <x:v>Stima lineare indicativa, non misurata</x:v>
      </x:c>
    </x:row>
    <x:row r="7">
      <x:c r="A7" s="409" t="str">
        <x:v>Tetto di riferimento 3S [RPM, quasi a vuoto]</x:v>
      </x:c>
      <x:c r="B7" s="412" t="n">
        <x:v>40</x:v>
      </x:c>
      <x:c r="C7" t="str">
        <x:v>40 RPM = tetto di progetto a vuoto/carico leggero; NON con 9,2 kg·cm. Nessuna garanzia 3S sotto carico.</x:v>
      </x:c>
      <x:c r="E7" s="421" t="n">
        <x:v>3</x:v>
      </x:c>
      <x:c r="F7" s="421" t="n">
        <x:f>MAX(0,MIN($B$7,$B$6-($B$4/$B$14)*E7))</x:f>
        <x:v>37.125</x:v>
      </x:c>
      <x:c r="G7" s="421" t="n">
        <x:f>F7*2*PI()/60</x:f>
        <x:v>3.887720908817369</x:v>
      </x:c>
      <x:c r="H7" t="str">
        <x:v>Stima lineare indicativa, non misurata</x:v>
      </x:c>
    </x:row>
    <x:row r="8">
      <x:c r="A8" s="409" t="str">
        <x:v>Riferimento di progetto 3S [rad/s]</x:v>
      </x:c>
      <x:c r="B8" s="153" t="n">
        <x:f>B7*2*PI()/60</x:f>
        <x:v>4.1887902047863905</x:v>
      </x:c>
      <x:c r="C8" t="str">
        <x:v>Velocità usata come candidato in Joint_Parameters</x:v>
      </x:c>
      <x:c r="E8" s="421" t="n">
        <x:v>4</x:v>
      </x:c>
      <x:c r="F8" s="421" t="n">
        <x:f>MAX(0,MIN($B$7,$B$6-($B$4/$B$14)*E8))</x:f>
        <x:v>35.625</x:v>
      </x:c>
      <x:c r="G8" s="421" t="n">
        <x:f>F8*2*PI()/60</x:f>
        <x:v>3.7306412761378795</x:v>
      </x:c>
      <x:c r="H8" t="str">
        <x:v>Stima lineare indicativa, non misurata</x:v>
      </x:c>
    </x:row>
    <x:row r="9">
      <x:c r="A9" s="409" t="str">
        <x:v>Limite URDF REV01-FIX vigente [RPM]</x:v>
      </x:c>
      <x:c r="B9" s="415" t="n">
        <x:v>29</x:v>
      </x:c>
      <x:c r="C9" t="str">
        <x:v>Limite prudenziale storico; NON modificato dal presente Excel</x:v>
      </x:c>
      <x:c r="E9" s="421" t="n">
        <x:v>5</x:v>
      </x:c>
      <x:c r="F9" s="421" t="n">
        <x:f>MAX(0,MIN($B$7,$B$6-($B$4/$B$14)*E9))</x:f>
        <x:v>34.125</x:v>
      </x:c>
      <x:c r="G9" s="421" t="n">
        <x:f>F9*2*PI()/60</x:f>
        <x:v>3.57356164345839</x:v>
      </x:c>
      <x:c r="H9" t="str">
        <x:v>Stima lineare indicativa, non misurata</x:v>
      </x:c>
    </x:row>
    <x:row r="10">
      <x:c r="A10" s="409" t="str">
        <x:v>Coppia NOMINALE dichiarata @ 12 V [kg·cm]</x:v>
      </x:c>
      <x:c r="B10" s="153" t="n">
        <x:v>10</x:v>
      </x:c>
      <x:c r="C10" t="str">
        <x:v>Dato Feetech; NON coppia di stallo</x:v>
      </x:c>
      <x:c r="E10" s="421" t="n">
        <x:v>6</x:v>
      </x:c>
      <x:c r="F10" s="421" t="n">
        <x:f>MAX(0,MIN($B$7,$B$6-($B$4/$B$14)*E10))</x:f>
        <x:v>32.625</x:v>
      </x:c>
      <x:c r="G10" s="421" t="n">
        <x:f>F10*2*PI()/60</x:f>
        <x:v>3.4164820107789</x:v>
      </x:c>
      <x:c r="H10" t="str">
        <x:v>Stima lineare indicativa, non misurata</x:v>
      </x:c>
    </x:row>
    <x:row r="11">
      <x:c r="A11" s="409" t="str">
        <x:v>Coppia nominale stimata a 11,1 V [kg·cm]</x:v>
      </x:c>
      <x:c r="B11" s="153" t="n">
        <x:f>B10*B5/B3</x:f>
        <x:v>9.25</x:v>
      </x:c>
      <x:c r="C11" t="str">
        <x:v>Approssimazione lineare; curva reale tensione/coppia non fornita</x:v>
      </x:c>
      <x:c r="E11" s="421" t="n">
        <x:v>7</x:v>
      </x:c>
      <x:c r="F11" s="421" t="n">
        <x:f>MAX(0,MIN($B$7,$B$6-($B$4/$B$14)*E11))</x:f>
        <x:v>31.125</x:v>
      </x:c>
      <x:c r="G11" s="421" t="n">
        <x:f>F11*2*PI()/60</x:f>
        <x:v>3.25940237809941</x:v>
      </x:c>
      <x:c r="H11" t="str">
        <x:v>Stima lineare indicativa, non misurata</x:v>
      </x:c>
    </x:row>
    <x:row r="12">
      <x:c r="A12" s="409" t="str">
        <x:v>Budget COPPIA 3S [kg·cm, non velocità]</x:v>
      </x:c>
      <x:c r="B12" s="153" t="n">
        <x:v>9.2</x:v>
      </x:c>
      <x:c r="C12" t="str">
        <x:v>Budget vicino alla stima di coppia nominale a 11,1 V, non certificato per servizio continuo; non è il carico sempre applicato ai 12 servo.</x:v>
      </x:c>
      <x:c r="E12" s="421" t="n">
        <x:v>8</x:v>
      </x:c>
      <x:c r="F12" s="421" t="n">
        <x:f>MAX(0,MIN($B$7,$B$6-($B$4/$B$14)*E12))</x:f>
        <x:v>29.625</x:v>
      </x:c>
      <x:c r="G12" s="421" t="n">
        <x:f>F12*2*PI()/60</x:f>
        <x:v>3.1023227454199205</x:v>
      </x:c>
      <x:c r="H12" t="str">
        <x:v>Stima lineare indicativa, non misurata</x:v>
      </x:c>
    </x:row>
    <x:row r="13">
      <x:c r="A13" s="409" t="str">
        <x:v>Riferimento prudenziale coppia 3S [N·m]</x:v>
      </x:c>
      <x:c r="B13" s="153" t="n">
        <x:f>B12*0.0980665</x:f>
        <x:v>0.9022117999999999</x:v>
      </x:c>
      <x:c r="C13" t="str">
        <x:v>Conversione fisica esatta 1 kgf·cm = 0,0980665 N·m; 0,902244 N·m è l'arrotondamento storico del modello URDF.</x:v>
      </x:c>
      <x:c r="E13" s="447" t="n">
        <x:v>9</x:v>
      </x:c>
      <x:c r="F13" s="447" t="n">
        <x:f>MAX(0,MIN($B$7,$B$6-($B$4/$B$14)*E13))</x:f>
        <x:v>28.125</x:v>
      </x:c>
      <x:c r="G13" s="447" t="n">
        <x:f>F13*2*PI()/60</x:f>
        <x:v>2.945243112740431</x:v>
      </x:c>
      <x:c r="H13" s="409" t="str">
        <x:v>Stima lineare indicativa, non misurata</x:v>
      </x:c>
    </x:row>
    <x:row r="14" ht="29" customHeight="1">
      <x:c r="A14" s="409" t="str">
        <x:v>Coppia di STALLO dichiarata @ 12 V [kg·cm]</x:v>
      </x:c>
      <x:c r="B14" s="153" t="n">
        <x:v>30</x:v>
      </x:c>
      <x:c r="C14" t="str">
        <x:v>NON usare come coppia continua o per dimensionare il gait</x:v>
      </x:c>
      <x:c r="E14" s="448" t="n">
        <x:v>9.2</x:v>
      </x:c>
      <x:c r="F14" s="448" t="n">
        <x:f>MAX(0,MIN($B$7,$B$6-($B$4/$B$14)*E14))</x:f>
        <x:v>27.825000000000003</x:v>
      </x:c>
      <x:c r="G14" s="448" t="n">
        <x:f>F14*2*PI()/60</x:f>
        <x:v>2.9138271862045335</x:v>
      </x:c>
      <x:c r="H14" s="156" t="str">
        <x:v>Coppia input B21 di riferimento</x:v>
      </x:c>
    </x:row>
    <x:row r="15" ht="29" customHeight="1">
      <x:c r="A15" t="str">
        <x:v>Pendenza modello = 45/30 = 1,5 RPM/(kg·cm) dai dati nominali a 12 V; estensione a 11,1 V solo ipotetica.</x:v>
      </x:c>
      <x:c r="E15" s="448" t="n">
        <x:v>10</x:v>
      </x:c>
      <x:c r="F15" s="448" t="n">
        <x:f>MAX(0,MIN($B$7,$B$6-($B$4/$B$14)*E15))</x:f>
        <x:v>26.625</x:v>
      </x:c>
      <x:c r="G15" s="448" t="n">
        <x:f>F15*2*PI()/60</x:f>
        <x:v>2.7881634800609416</x:v>
      </x:c>
      <x:c r="H15" s="156" t="str">
        <x:v>Stima lineare indicativa, non misurata</x:v>
      </x:c>
    </x:row>
    <x:row r="16" ht="29" customHeight="1">
      <x:c r="A16" s="416" t="str">
        <x:v>Fonte ufficiale FEETECH — ST-3215-C018</x:v>
      </x:c>
      <x:c r="B16" s="416" t="str">
        <x:v>https://www.feetechrc.com/Data/feetechrc/upload/file/20240507/6385067068652648096680943.pdf</x:v>
      </x:c>
      <x:c r="C16" s="416"/>
      <x:c r="D16" s="416"/>
      <x:c r="E16" s="448" t="n">
        <x:v>11</x:v>
      </x:c>
      <x:c r="F16" s="448" t="n">
        <x:f>MAX(0,MIN($B$7,$B$6-($B$4/$B$14)*E16))</x:f>
        <x:v>25.125</x:v>
      </x:c>
      <x:c r="G16" s="448" t="n">
        <x:f>F16*2*PI()/60</x:f>
        <x:v>2.631083847381452</x:v>
      </x:c>
      <x:c r="H16" s="156" t="str">
        <x:v>Oltre il nominale 12 V: solo esempio, NON uso continuo</x:v>
      </x:c>
    </x:row>
    <x:row r="17" ht="29" customHeight="1">
      <x:c r="A17" s="156" t="str">
        <x:v>Scheda Feetech: velocità 0,222 s/60° (45 RPM) a 12 V, tolleranza ±10%; 10 kg·cm coppia nominale, 30 kg·cm di stallo.</x:v>
      </x:c>
      <x:c r="B17" s="156"/>
      <x:c r="C17" s="156"/>
      <x:c r="E17" s="448" t="n">
        <x:v>12</x:v>
      </x:c>
      <x:c r="F17" s="448" t="n">
        <x:f>MAX(0,MIN($B$7,$B$6-($B$4/$B$14)*E17))</x:f>
        <x:v>23.625</x:v>
      </x:c>
      <x:c r="G17" s="448" t="n">
        <x:f>F17*2*PI()/60</x:f>
        <x:v>2.4740042147019623</x:v>
      </x:c>
      <x:c r="H17" s="156" t="str">
        <x:v>Oltre il nominale 12 V: solo esempio, NON uso continuo</x:v>
      </x:c>
    </x:row>
    <x:row r="18" ht="29" customHeight="1">
      <x:c r="A18" s="422" t="str">
        <x:v>Velocità disponibile (stimata) e budget di coppia non sono prestazioni simultanee dichiarate da Feetech.</x:v>
      </x:c>
      <x:c r="B18" s="417"/>
      <x:c r="C18" s="417"/>
      <x:c r="E18" s="448" t="n">
        <x:v>13</x:v>
      </x:c>
      <x:c r="F18" s="448" t="n">
        <x:f>MAX(0,MIN($B$7,$B$6-($B$4/$B$14)*E18))</x:f>
        <x:v>22.125</x:v>
      </x:c>
      <x:c r="G18" s="448" t="n">
        <x:f>F18*2*PI()/60</x:f>
        <x:v>2.3169245820224726</x:v>
      </x:c>
      <x:c r="H18" s="156" t="str">
        <x:v>Oltre il nominale 12 V: solo esempio, NON uso continuo</x:v>
      </x:c>
    </x:row>
    <x:row r="19" ht="30" customHeight="1">
      <x:c r="A19" s="417" t="str">
        <x:v>Il servo ST3215 dichiara 45 RPM A VUOTO @12 V e 10 kg·cm COPPIA NOMINALE @12 V; la tensione reale del rail 3S e i carichi dinamici vanno verificati sul robot.</x:v>
      </x:c>
      <x:c r="B19" s="417"/>
      <x:c r="C19" s="417"/>
      <x:c r="E19" s="421" t="n">
        <x:v>14</x:v>
      </x:c>
      <x:c r="F19" s="421" t="n">
        <x:f>MAX(0,MIN($B$7,$B$6-($B$4/$B$14)*E19))</x:f>
        <x:v>20.625</x:v>
      </x:c>
      <x:c r="G19" s="421" t="n">
        <x:f>F19*2*PI()/60</x:f>
        <x:v>2.1598449493429825</x:v>
      </x:c>
      <x:c r="H19" t="str">
        <x:v>Oltre il nominale 12 V: solo esempio, NON uso continuo</x:v>
      </x:c>
    </x:row>
    <x:row r="20" ht="30" customHeight="1">
      <x:c r="A20" s="156" t="str">
        <x:v>La cinematica FK/IK è indipendente da velocità e coppia; cambiano solo analisi temporali/dinamiche che usino questi parametri.</x:v>
      </x:c>
      <x:c r="B20" s="156"/>
      <x:c r="C20" s="156"/>
      <x:c r="E20" s="421" t="n">
        <x:v>15</x:v>
      </x:c>
      <x:c r="F20" s="421" t="n">
        <x:f>MAX(0,MIN($B$7,$B$6-($B$4/$B$14)*E20))</x:f>
        <x:v>19.125</x:v>
      </x:c>
      <x:c r="G20" s="421" t="n">
        <x:f>F20*2*PI()/60</x:f>
        <x:v>2.0027653166634933</x:v>
      </x:c>
      <x:c r="H20" t="str">
        <x:v>Oltre il nominale 12 V: solo esempio, NON uso continuo</x:v>
      </x:c>
    </x:row>
    <x:row r="21" ht="24" customHeight="1">
      <x:c r="A21" s="441" t="str">
        <x:v>Coppia effettiva da valutare [kg·cm] — input</x:v>
      </x:c>
      <x:c r="B21" s="444" t="n">
        <x:v>9.2</x:v>
      </x:c>
      <x:c r="C21" t="str">
        <x:v>Modifica questo valore per leggere la velocità stimata; non è una previsione del carico in WALK.</x:v>
      </x:c>
      <x:c r="E21" s="421" t="n">
        <x:v>16</x:v>
      </x:c>
      <x:c r="F21" s="421" t="n">
        <x:f>MAX(0,MIN($B$7,$B$6-($B$4/$B$14)*E21))</x:f>
        <x:v>17.625</x:v>
      </x:c>
      <x:c r="G21" s="421" t="n">
        <x:f>F21*2*PI()/60</x:f>
        <x:v>1.8456856839840035</x:v>
      </x:c>
      <x:c r="H21" t="str">
        <x:v>Oltre il nominale 12 V: solo esempio, NON uso continuo</x:v>
      </x:c>
    </x:row>
    <x:row r="22" ht="24" customHeight="1">
      <x:c r="A22" s="441" t="str">
        <x:v>Velocità disponibile stimata [RPM]</x:v>
      </x:c>
      <x:c r="B22" s="446" t="n">
        <x:f>MAX(0,MIN($B$7,$B$6-($B$4/$B$14)*B21))</x:f>
        <x:v>27.825000000000003</x:v>
      </x:c>
      <x:c r="C22" t="str">
        <x:v>Calcolo lineare stimato: 40 RPM è solo un tetto quasi a vuoto; per 9,2 kg·cm ≈27,8 RPM.</x:v>
      </x:c>
      <x:c r="E22" s="421" t="n">
        <x:v>17</x:v>
      </x:c>
      <x:c r="F22" s="421" t="n">
        <x:f>MAX(0,MIN($B$7,$B$6-($B$4/$B$14)*E22))</x:f>
        <x:v>16.125</x:v>
      </x:c>
      <x:c r="G22" s="421" t="n">
        <x:f>F22*2*PI()/60</x:f>
        <x:v>1.6886060513045138</x:v>
      </x:c>
      <x:c r="H22" t="str">
        <x:v>Oltre il nominale 12 V: solo esempio, NON uso continuo</x:v>
      </x:c>
    </x:row>
    <x:row r="23" ht="24" customHeight="1">
      <x:c r="A23" s="441" t="str">
        <x:v>Velocità disponibile stimata [rad/s]</x:v>
      </x:c>
      <x:c r="B23" s="446" t="n">
        <x:f>B22*2*PI()/60</x:f>
        <x:v>2.9138271862045335</x:v>
      </x:c>
      <x:c r="C23" t="str">
        <x:v>Conversione velocità angolare (rad/s) per analisi di traiettoria.</x:v>
      </x:c>
      <x:c r="E23" s="421" t="n">
        <x:v>18</x:v>
      </x:c>
      <x:c r="F23" s="421" t="n">
        <x:f>MAX(0,MIN($B$7,$B$6-($B$4/$B$14)*E23))</x:f>
        <x:v>14.625</x:v>
      </x:c>
      <x:c r="G23" s="421" t="n">
        <x:f>F23*2*PI()/60</x:f>
        <x:v>1.5315264186250241</x:v>
      </x:c>
      <x:c r="H23" t="str">
        <x:v>Oltre il nominale 12 V: solo esempio, NON uso continuo</x:v>
      </x:c>
    </x:row>
    <x:row r="24" ht="24" customHeight="1">
      <x:c r="A24" s="441" t="str">
        <x:v>Coppia input [N·m]</x:v>
      </x:c>
      <x:c r="B24" s="446" t="n">
        <x:f>B21*0.0980665</x:f>
        <x:v>0.9022117999999999</x:v>
      </x:c>
      <x:c r="C24" t="str">
        <x:v>1 kg·cm = 0,0980665 N·m.</x:v>
      </x:c>
      <x:c r="E24" s="421" t="n">
        <x:v>19</x:v>
      </x:c>
      <x:c r="F24" s="421" t="n">
        <x:f>MAX(0,MIN($B$7,$B$6-($B$4/$B$14)*E24))</x:f>
        <x:v>13.125</x:v>
      </x:c>
      <x:c r="G24" s="421" t="n">
        <x:f>F24*2*PI()/60</x:f>
        <x:v>1.3744467859455345</x:v>
      </x:c>
      <x:c r="H24" t="str">
        <x:v>Oltre il nominale 12 V: solo esempio, NON uso continuo</x:v>
      </x:c>
    </x:row>
    <x:row r="25">
      <x:c r="A25" t="str">
        <x:v>Lettura: la velocità disponibile sotto carico non è 40 RPM fissi.</x:v>
      </x:c>
      <x:c r="E25" s="421" t="n">
        <x:v>20</x:v>
      </x:c>
      <x:c r="F25" s="421" t="n">
        <x:f>MAX(0,MIN($B$7,$B$6-($B$4/$B$14)*E25))</x:f>
        <x:v>11.625</x:v>
      </x:c>
      <x:c r="G25" s="421" t="n">
        <x:f>F25*2*PI()/60</x:f>
        <x:v>1.2173671532660448</x:v>
      </x:c>
      <x:c r="H25" t="str">
        <x:v>Oltre il nominale 12 V: solo esempio, NON uso continuo</x:v>
      </x:c>
    </x:row>
    <x:row r="26">
      <x:c r="E26" s="421" t="n">
        <x:v>21</x:v>
      </x:c>
      <x:c r="F26" s="421" t="n">
        <x:f>MAX(0,MIN($B$7,$B$6-($B$4/$B$14)*E26))</x:f>
        <x:v>10.125</x:v>
      </x:c>
      <x:c r="G26" s="421" t="n">
        <x:f>F26*2*PI()/60</x:f>
        <x:v>1.0602875205865552</x:v>
      </x:c>
      <x:c r="H26" t="str">
        <x:v>Oltre il nominale 12 V: solo esempio, NON uso continuo</x:v>
      </x:c>
    </x:row>
    <x:row r="27">
      <x:c r="E27" s="421" t="n">
        <x:v>22</x:v>
      </x:c>
      <x:c r="F27" s="421" t="n">
        <x:f>MAX(0,MIN($B$7,$B$6-($B$4/$B$14)*E27))</x:f>
        <x:v>8.625</x:v>
      </x:c>
      <x:c r="G27" s="421" t="n">
        <x:f>F27*2*PI()/60</x:f>
        <x:v>0.9032078879070655</x:v>
      </x:c>
      <x:c r="H27" t="str">
        <x:v>Oltre il nominale 12 V: solo esempio, NON uso continuo</x:v>
      </x:c>
    </x:row>
    <x:row r="28">
      <x:c r="E28" s="421" t="n">
        <x:v>23</x:v>
      </x:c>
      <x:c r="F28" s="421" t="n">
        <x:f>MAX(0,MIN($B$7,$B$6-($B$4/$B$14)*E28))</x:f>
        <x:v>7.125</x:v>
      </x:c>
      <x:c r="G28" s="421" t="n">
        <x:f>F28*2*PI()/60</x:f>
        <x:v>0.7461282552275759</x:v>
      </x:c>
      <x:c r="H28" t="str">
        <x:v>Oltre il nominale 12 V: solo esempio, NON uso continuo</x:v>
      </x:c>
    </x:row>
    <x:row r="29">
      <x:c r="E29" s="421" t="n">
        <x:v>24</x:v>
      </x:c>
      <x:c r="F29" s="421" t="n">
        <x:f>MAX(0,MIN($B$7,$B$6-($B$4/$B$14)*E29))</x:f>
        <x:v>5.625</x:v>
      </x:c>
      <x:c r="G29" s="421" t="n">
        <x:f>F29*2*PI()/60</x:f>
        <x:v>0.5890486225480862</x:v>
      </x:c>
      <x:c r="H29" t="str">
        <x:v>Oltre il nominale 12 V: solo esempio, NON uso continuo</x:v>
      </x:c>
    </x:row>
    <x:row r="30">
      <x:c r="E30" s="421" t="n">
        <x:v>25</x:v>
      </x:c>
      <x:c r="F30" s="421" t="n">
        <x:f>MAX(0,MIN($B$7,$B$6-($B$4/$B$14)*E30))</x:f>
        <x:v>4.125</x:v>
      </x:c>
      <x:c r="G30" s="421" t="n">
        <x:f>F30*2*PI()/60</x:f>
        <x:v>0.43196898986859655</x:v>
      </x:c>
      <x:c r="H30" t="str">
        <x:v>Oltre il nominale 12 V: solo esempio, NON uso continuo</x:v>
      </x:c>
    </x:row>
    <x:row r="31">
      <x:c r="E31" s="421" t="n">
        <x:v>26</x:v>
      </x:c>
      <x:c r="F31" s="421" t="n">
        <x:f>MAX(0,MIN($B$7,$B$6-($B$4/$B$14)*E31))</x:f>
        <x:v>2.625</x:v>
      </x:c>
      <x:c r="G31" s="421" t="n">
        <x:f>F31*2*PI()/60</x:f>
        <x:v>0.2748893571891069</x:v>
      </x:c>
      <x:c r="H31" t="str">
        <x:v>Oltre il nominale 12 V: solo esempio, NON uso continuo</x:v>
      </x:c>
    </x:row>
    <x:row r="32">
      <x:c r="E32" s="421" t="n">
        <x:v>27</x:v>
      </x:c>
      <x:c r="F32" s="421" t="n">
        <x:f>MAX(0,MIN($B$7,$B$6-($B$4/$B$14)*E32))</x:f>
        <x:v>1.125</x:v>
      </x:c>
      <x:c r="G32" s="421" t="n">
        <x:f>F32*2*PI()/60</x:f>
        <x:v>0.11780972450961724</x:v>
      </x:c>
      <x:c r="H32" t="str">
        <x:v>Oltre il nominale 12 V: solo esempio, NON uso continuo</x:v>
      </x:c>
    </x:row>
    <x:row r="33">
      <x:c r="E33" s="421" t="n">
        <x:v>27.75</x:v>
      </x:c>
      <x:c r="F33" s="421" t="n">
        <x:f>MAX(0,MIN($B$7,$B$6-($B$4/$B$14)*E33))</x:f>
        <x:v>0</x:v>
      </x:c>
      <x:c r="G33" s="421" t="n">
        <x:f>F33*2*PI()/60</x:f>
        <x:v>0</x:v>
      </x:c>
      <x:c r="H33" t="str">
        <x:v>Oltre il nominale 12 V: solo esempio, NON uso continuo</x:v>
      </x:c>
    </x:row>
    <x:row r="34">
      <x:c r="E34" s="421" t="n">
        <x:v>30</x:v>
      </x:c>
      <x:c r="F34" s="421" t="n">
        <x:f>MAX(0,MIN($B$7,$B$6-($B$4/$B$14)*E34))</x:f>
        <x:v>0</x:v>
      </x:c>
      <x:c r="G34" s="421" t="n">
        <x:f>F34*2*PI()/60</x:f>
        <x:v>0</x:v>
      </x:c>
      <x:c r="H34" t="str">
        <x:v>Oltre il nominale 12 V: solo esempio, NON uso continuo</x:v>
      </x:c>
    </x:row>
  </x:sheetData>
  <x:mergeCells>
    <x:mergeCell ref="A1:D1"/>
    <x:mergeCell ref="E2:H2"/>
  </x:mergeCells>
  <x:pageMargins left="0.7" right="0.7" top="0.75" bottom="0.75" header="0.3" footer="0.3"/>
  <x:drawing xmlns:r="http://schemas.openxmlformats.org/officeDocument/2006/relationships" r:id="Rc544553ce3954473"/>
</x:worksheet>
</file>