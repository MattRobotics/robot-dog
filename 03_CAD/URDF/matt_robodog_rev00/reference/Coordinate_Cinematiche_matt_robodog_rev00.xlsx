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e15d67dad41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17117f0308514131"/>
    <x:sheet xmlns:r="http://schemas.openxmlformats.org/officeDocument/2006/relationships" name="Mesh_Transforms" sheetId="2" r:id="R8f9d7fc1e4104cc4"/>
    <x:sheet xmlns:r="http://schemas.openxmlformats.org/officeDocument/2006/relationships" name="Reference_Notes" sheetId="3" r:id="R08f3f5507a8d421a"/>
    <x:sheet xmlns:r="http://schemas.openxmlformats.org/officeDocument/2006/relationships" name="Link_Engineering" sheetId="4" r:id="R1bd136d64b484fc8"/>
    <x:sheet xmlns:r="http://schemas.openxmlformats.org/officeDocument/2006/relationships" name="Mass_Summary" sheetId="5" r:id="R01b5bfde62b3429e"/>
    <x:sheet xmlns:r="http://schemas.openxmlformats.org/officeDocument/2006/relationships" name="Engineering_Weight_Source" sheetId="6" r:id="R47e07315701e4e75"/>
    <x:sheet xmlns:r="http://schemas.openxmlformats.org/officeDocument/2006/relationships" name="URDF_Audit" sheetId="7" r:id="Rf3337a77e49544ce"/>
    <x:sheet xmlns:r="http://schemas.openxmlformats.org/officeDocument/2006/relationships" name="Inertial_Properties" sheetId="8" r:id="R50c7af26ae824333"/>
    <x:sheet xmlns:r="http://schemas.openxmlformats.org/officeDocument/2006/relationships" name="CAD_Source_Data" sheetId="9" r:id="R3df41296733f4968"/>
    <x:sheet xmlns:r="http://schemas.openxmlformats.org/officeDocument/2006/relationships" name="Mass_Reconciliation" sheetId="10" r:id="R00897d6d28824d0d"/>
    <x:sheet xmlns:r="http://schemas.openxmlformats.org/officeDocument/2006/relationships" name="Physical_Property_Method" sheetId="11" r:id="Rada7cf4125ca46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000"/>
    <x:numFmt numFmtId="202" formatCode="0.000000"/>
    <x:numFmt numFmtId="203" formatCode="0.000000000000000"/>
    <x:numFmt numFmtId="204" formatCode="0.0000000000"/>
    <x:numFmt numFmtId="205" formatCode="0.00"/>
    <x:numFmt numFmtId="206" formatCode="0.0%"/>
  </x:numFmts>
  <x:fonts count="2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  <x:font>
      <x:i/>
      <x:sz val="10"/>
      <x:color rgb="FF1F1F1F"/>
      <x:name val="Carlito"/>
    </x:font>
    <x:font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  <x:font>
      <x:b/>
      <x:sz val="11"/>
      <x:color rgb="FF006100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0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left"/>
    </x:xf>
    <x:xf numFmtId="0" fontId="11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wrapText="1"/>
    </x:xf>
    <x:xf numFmtId="0" fontId="16" fillId="24" borderId="0" xfId="0" applyNumberFormat="1" applyFont="1" applyFill="1" applyBorder="1" applyAlignment="1">
      <x:alignment horizontal="left" wrapText="1"/>
    </x:xf>
    <x:xf numFmtId="0" fontId="16" fillId="24" borderId="0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wrapText="1"/>
    </x:xf>
    <x:xf numFmtId="0" fontId="10" fillId="25" borderId="0" xfId="0" applyNumberFormat="1" applyFont="1" applyFill="1" applyBorder="1" applyAlignment="1">
      <x:alignment horizontal="center" vertical="center" wrapText="1"/>
    </x:xf>
    <x:xf numFmtId="0" fontId="10" fillId="2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4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 applyAlignment="1">
      <x:alignment vertical="top" wrapText="1"/>
    </x:xf>
    <x:xf numFmtId="0" fontId="10" fillId="25" borderId="0" xfId="0" applyNumberFormat="1" applyFont="1" applyFill="1" applyBorder="1" applyAlignment="1">
      <x:alignment horizontal="center" vertical="top" wrapText="1"/>
    </x:xf>
    <x:xf numFmtId="0" fontId="10" fillId="25" xfId="0" applyNumberFormat="1" applyFont="1" applyFill="1" applyBorder="0" applyAlignment="1">
      <x:alignment horizontal="center" vertical="top" wrapText="1"/>
    </x:xf>
    <x:xf numFmtId="201" fontId="0" fillId="0" xfId="0" applyNumberFormat="1" applyFont="1" applyFill="1" applyBorder="0" applyAlignment="1">
      <x:alignment vertical="top" wrapText="1"/>
    </x:xf>
    <x:xf numFmtId="205" fontId="0" fillId="0" xfId="0" applyNumberFormat="1" applyFont="1" applyFill="1" applyBorder="0" applyAlignment="1">
      <x:alignment vertical="top" wrapText="1"/>
    </x:xf>
    <x:xf numFmtId="206" fontId="0" fillId="0" xfId="0" applyNumberFormat="1" applyFont="1" applyFill="1" applyBorder="0" applyAlignment="1">
      <x:alignment vertical="top" wrapText="1"/>
    </x:xf>
    <x:xf numFmtId="0" fontId="0" fillId="26" xfId="0" applyNumberFormat="1" applyFont="1" applyFill="1" applyBorder="0" applyAlignment="1">
      <x:alignment vertical="top" wrapText="1"/>
    </x:xf>
    <x:xf numFmtId="0" fontId="17" fillId="26" xfId="0" applyNumberFormat="1" applyFont="1" applyFill="1" applyBorder="0" applyAlignment="1">
      <x:alignment vertical="top" wrapText="1"/>
    </x:xf>
    <x:xf numFmtId="0" fontId="0" fillId="27" xfId="0" applyNumberFormat="1" applyFont="1" applyFill="1" applyBorder="0" applyAlignment="1">
      <x:alignment vertical="top" wrapText="1"/>
    </x:xf>
    <x:xf numFmtId="201" fontId="0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201" fontId="18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horizontal="left" vertical="top" wrapText="1"/>
    </x:xf>
    <x:xf numFmtId="201" fontId="18" fillId="27" xfId="0" applyNumberFormat="1" applyFont="1" applyFill="1" applyBorder="0" applyAlignment="1">
      <x:alignment horizontal="left" vertical="top" wrapText="1"/>
    </x:xf>
    <x:xf numFmtId="0" fontId="18" fillId="27" xfId="0" applyNumberFormat="1" applyFont="1" applyFill="1" applyBorder="0" applyAlignment="1">
      <x:alignment horizontal="left" vertical="center" wrapText="1"/>
    </x:xf>
    <x:xf numFmtId="201" fontId="18" fillId="27" xfId="0" applyNumberFormat="1" applyFont="1" applyFill="1" applyBorder="0" applyAlignment="1">
      <x:alignment horizontal="left" vertical="center" wrapText="1"/>
    </x:xf>
    <x:xf numFmtId="0" fontId="0" fillId="28" borderId="0" xfId="0" applyNumberFormat="1" applyFont="1" applyFill="1" applyBorder="1"/>
    <x:xf numFmtId="0" fontId="19" fillId="28" borderId="0" xfId="0" applyNumberFormat="1" applyFont="1" applyFill="1" applyBorder="1"/>
    <x:xf numFmtId="0" fontId="19" fillId="28" borderId="0" xfId="0" applyNumberFormat="1" applyFont="1" applyFill="1" applyBorder="1" applyAlignment="1">
      <x:alignment wrapText="1"/>
    </x:xf>
    <x:xf numFmtId="0" fontId="19" fillId="28" borderId="0" xfId="0" applyNumberFormat="1" applyFont="1" applyFill="1" applyBorder="1" applyAlignment="1">
      <x:alignment vertical="top" wrapText="1"/>
    </x:xf>
    <x:xf numFmtId="0" fontId="11" fillId="23" borderId="0" xfId="0" applyNumberFormat="1" applyFont="1" applyFill="1" applyBorder="1" applyAlignment="1">
      <x:alignment horizontal="center" vertical="center"/>
    </x:xf>
    <x:xf numFmtId="0" fontId="12" fillId="24" borderId="0" xfId="0" applyNumberFormat="1" applyFont="1" applyFill="1" applyBorder="1" applyAlignment="1">
      <x:alignment horizontal="left" vertical="center"/>
    </x:xf>
    <x:xf numFmtId="0" fontId="16" fillId="24" borderId="0" xfId="0" applyNumberFormat="1" applyFont="1" applyFill="1" applyBorder="1" applyAlignment="1">
      <x:alignment horizontal="left" vertical="center"/>
    </x:xf>
    <x:xf numFmtId="0" fontId="6" fillId="13" borderId="0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201" fontId="0" fillId="15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xfId="0" applyNumberFormat="1" applyFont="1" applyFill="1" applyBorder="0" applyAlignment="1">
      <x:alignment vertical="top" wrapText="1"/>
    </x:xf>
    <x:xf numFmtId="201" fontId="0" fillId="16" xfId="0" applyNumberFormat="1" applyFont="1" applyFill="1" applyBorder="0" applyAlignment="1">
      <x:alignment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201" fontId="0" fillId="17" xfId="0" applyNumberFormat="1" applyFont="1" applyFill="1" applyBorder="0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201" fontId="0" fillId="18" xfId="0" applyNumberFormat="1" applyFont="1" applyFill="1" applyBorder="0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0" fillId="19" xfId="0" applyNumberFormat="1" applyFont="1" applyFill="1" applyBorder="0" applyAlignment="1">
      <x:alignment vertical="top" wrapText="1"/>
    </x:xf>
    <x:xf numFmtId="201" fontId="0" fillId="19" xfId="0" applyNumberFormat="1" applyFont="1" applyFill="1" applyBorder="0" applyAlignment="1">
      <x:alignment vertical="top" wrapText="1"/>
    </x:xf>
    <x:xf numFmtId="201" fontId="0" fillId="19" borderId="0" xfId="0" applyNumberFormat="1" applyFont="1" applyFill="1" applyBorder="1" applyAlignment="1">
      <x:alignment vertical="top" wrapText="1"/>
    </x:xf>
    <x:xf numFmtId="0" fontId="6" fillId="25" borderId="0" xfId="0" applyNumberFormat="1" applyFont="1" applyFill="1" applyBorder="1" applyAlignment="1">
      <x:alignment horizontal="center" vertical="top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201" fontId="9" fillId="9" borderId="0" xfId="0" applyNumberFormat="1" applyFont="1" applyFill="1" applyBorder="1" applyAlignment="1">
      <x:alignment vertical="center" wrapText="1"/>
    </x:xf>
    <x:xf numFmtId="200" fontId="9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1" fontId="9" fillId="9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201" fontId="3" fillId="0" xfId="0" applyNumberFormat="1" applyFont="1" applyFill="1" applyBorder="0" applyAlignment="1">
      <x:alignment vertical="top" wrapText="1"/>
    </x:xf>
    <x:xf numFmtId="200" fontId="3" fillId="0" xfId="0" applyNumberFormat="1" applyFont="1" applyFill="1" applyBorder="0" applyAlignment="1">
      <x:alignment vertical="top" wrapText="1"/>
    </x:xf>
    <x:xf numFmtId="0" fontId="9" fillId="9" xfId="0" applyNumberFormat="1" applyFont="1" applyFill="1" applyBorder="0" applyAlignment="1">
      <x:alignment vertical="top" wrapText="1"/>
    </x:xf>
    <x:xf numFmtId="201" fontId="9" fillId="9" xfId="0" applyNumberFormat="1" applyFont="1" applyFill="1" applyBorder="0" applyAlignment="1">
      <x:alignment vertical="top" wrapText="1"/>
    </x:xf>
    <x:xf numFmtId="200" fontId="9" fillId="9" xfId="0" applyNumberFormat="1" applyFont="1" applyFill="1" applyBorder="0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 applyAlignment="1">
      <x:alignment wrapText="1"/>
    </x:xf>
    <x:xf numFmtId="200" fontId="0" fillId="19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19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0" fillId="3" xfId="0" applyNumberFormat="1" applyFont="1" applyFill="1" applyBorder="0" applyAlignment="1">
      <x:alignment vertical="top" wrapText="1"/>
    </x:xf>
    <x:xf numFmtId="200" fontId="0" fillId="0" xfId="0" applyNumberFormat="1" applyFont="1" applyFill="1" applyBorder="0" applyAlignment="1">
      <x:alignment vertical="top" wrapText="1"/>
    </x:xf>
    <x:xf numFmtId="200" fontId="0" fillId="19" xfId="0" applyNumberFormat="1" applyFont="1" applyFill="1" applyBorder="0" applyAlignment="1">
      <x:alignment vertical="top" wrapText="1"/>
    </x:xf>
    <x:xf numFmtId="0" fontId="13" fillId="14" xfId="0" applyNumberFormat="1" applyFont="1" applyFill="1" applyBorder="0" applyAlignment="1">
      <x:alignment vertical="top" wrapText="1"/>
    </x:xf>
    <x:xf numFmtId="0" fontId="0" fillId="27" borderId="0" xfId="0" applyNumberFormat="1" applyFont="1" applyFill="1" applyBorder="1"/>
    <x:xf numFmtId="0" fontId="18" fillId="27" borderId="0" xfId="0" applyNumberFormat="1" applyFont="1" applyFill="1" applyBorder="1"/>
    <x:xf numFmtId="0" fontId="18" fillId="27" borderId="0" xfId="0" applyNumberFormat="1" applyFont="1" applyFill="1" applyBorder="1" applyAlignment="1">
      <x:alignment horizontal="left"/>
    </x:xf>
    <x:xf numFmtId="0" fontId="18" fillId="27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horizontal="center" vertical="top" wrapText="1"/>
    </x:xf>
    <x:xf numFmtId="0" fontId="18" fillId="27" xfId="0" applyNumberFormat="1" applyFont="1" applyFill="1" applyBorder="0" applyAlignment="1">
      <x:alignment horizontal="left" vertical="center"/>
    </x:xf>
    <x:xf numFmtId="0" fontId="14" fillId="15" xfId="0" applyNumberFormat="1" applyFont="1" applyFill="1" applyBorder="0" applyAlignment="1">
      <x:alignment horizontal="left" vertical="top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15" fillId="24" borderId="0" xfId="0" applyNumberFormat="1" applyFont="1" applyFill="1" applyBorder="1" applyAlignment="1">
      <x:alignment vertical="center" wrapText="1"/>
    </x:xf>
    <x:xf numFmtId="0" fontId="16" fillId="24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top" wrapText="1"/>
    </x:xf>
    <x:xf numFmtId="0" fontId="20" fillId="29" borderId="0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 applyAlignment="1">
      <x:alignment vertical="top" wrapText="1"/>
    </x:xf>
    <x:xf numFmtId="0" fontId="10" fillId="22" xfId="0" applyNumberFormat="1" applyFont="1" applyFill="1" applyBorder="0" applyAlignment="1">
      <x:alignment horizontal="center" vertical="center" wrapText="1"/>
    </x:xf>
    <x:xf numFmtId="0" fontId="20" fillId="29" xfId="0" applyNumberFormat="1" applyFont="1" applyFill="1" applyBorder="0" applyAlignment="1">
      <x:alignment vertical="top" wrapText="1"/>
    </x:xf>
    <x:xf numFmtId="0" fontId="19" fillId="28" xfId="0" applyNumberFormat="1" applyFont="1" applyFill="1" applyBorder="0" applyAlignment="1">
      <x:alignment vertical="top" wrapText="1"/>
    </x:xf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left"/>
    </x:xf>
    <x:xf numFmtId="0" fontId="11" fillId="22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wrapText="1"/>
    </x:xf>
    <x:xf numFmtId="0" fontId="16" fillId="21" borderId="0" xfId="0" applyNumberFormat="1" applyFont="1" applyFill="1" applyBorder="1" applyAlignment="1">
      <x:alignment horizontal="left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11" fillId="22" borderId="0" xfId="0" applyNumberFormat="1" applyFont="1" applyFill="1" applyBorder="1" applyAlignment="1">
      <x:alignment horizontal="center" vertical="center"/>
    </x:xf>
    <x:xf numFmtId="0" fontId="12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9115b1295f42f4" /><Relationship Type="http://schemas.openxmlformats.org/officeDocument/2006/relationships/theme" Target="/xl/theme/theme1.xml" Id="R820a55fd45b8467b" /><Relationship Type="http://schemas.openxmlformats.org/officeDocument/2006/relationships/sharedStrings" Target="/xl/sharedStrings.xml" Id="R438c9b035141477d" /><Relationship Type="http://schemas.openxmlformats.org/officeDocument/2006/relationships/worksheet" Target="/xl/worksheets/sheet1.xml" Id="R17117f0308514131" /><Relationship Type="http://schemas.openxmlformats.org/officeDocument/2006/relationships/worksheet" Target="/xl/worksheets/sheet2.xml" Id="R8f9d7fc1e4104cc4" /><Relationship Type="http://schemas.openxmlformats.org/officeDocument/2006/relationships/worksheet" Target="/xl/worksheets/sheet3.xml" Id="R08f3f5507a8d421a" /><Relationship Type="http://schemas.openxmlformats.org/officeDocument/2006/relationships/worksheet" Target="/xl/worksheets/sheet4.xml" Id="R1bd136d64b484fc8" /><Relationship Type="http://schemas.openxmlformats.org/officeDocument/2006/relationships/worksheet" Target="/xl/worksheets/sheet5.xml" Id="R01b5bfde62b3429e" /><Relationship Type="http://schemas.openxmlformats.org/officeDocument/2006/relationships/worksheet" Target="/xl/worksheets/sheet6.xml" Id="R47e07315701e4e75" /><Relationship Type="http://schemas.openxmlformats.org/officeDocument/2006/relationships/worksheet" Target="/xl/worksheets/sheet7.xml" Id="Rf3337a77e49544ce" /><Relationship Type="http://schemas.openxmlformats.org/officeDocument/2006/relationships/worksheet" Target="/xl/worksheets/sheet8.xml" Id="R50c7af26ae824333" /><Relationship Type="http://schemas.openxmlformats.org/officeDocument/2006/relationships/worksheet" Target="/xl/worksheets/sheet9.xml" Id="R3df41296733f4968" /><Relationship Type="http://schemas.openxmlformats.org/officeDocument/2006/relationships/worksheet" Target="/xl/worksheets/sheet10.xml" Id="R00897d6d28824d0d" /><Relationship Type="http://schemas.openxmlformats.org/officeDocument/2006/relationships/worksheet" Target="/xl/worksheets/sheet11.xml" Id="Rada7cf4125ca4620" /></Relationships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Speed&#10;[rpm]"/>
    <x:tableColumn id="22" name="Speed&#10;[rad/s]"/>
    <x:tableColumn id="23" name="Torque&#10;[kg·cm]"/>
    <x:tableColumn id="24" name="Effort&#10;[N·m]"/>
  </x:tableColumns>
  <x:tableStyleInfo name="TableStyleMedium2" showRowStripes="1"/>
</x:table>
</file>

<file path=xl/tables/table2.xml><?xml version="1.0" encoding="utf-8"?>
<x:table xmlns:x="http://schemas.openxmlformats.org/spreadsheetml/2006/main" id="2" name="MeshTransformsTable" displayName="MeshTransformsTable" ref="A5:O22" headerRowCount="1">
  <x:tableColumns count="15">
    <x:tableColumn id="1" name="Link"/>
    <x:tableColumn id="2" name="Visual mesh"/>
    <x:tableColumn id="3" name="Collision mesh"/>
    <x:tableColumn id="4" name="Visual X&#10;[m]"/>
    <x:tableColumn id="5" name="Visual Y&#10;[m]"/>
    <x:tableColumn id="6" name="Visual Z&#10;[m]"/>
    <x:tableColumn id="7" name="Visual R&#10;[deg]"/>
    <x:tableColumn id="8" name="Visual P&#10;[deg]"/>
    <x:tableColumn id="9" name="Visual Yaw&#10;[deg]"/>
    <x:tableColumn id="10" name="Collision X&#10;[m]"/>
    <x:tableColumn id="11" name="Collision Y&#10;[m]"/>
    <x:tableColumn id="12" name="Collision Z&#10;[m]"/>
    <x:tableColumn id="13" name="Collision R&#10;[deg]"/>
    <x:tableColumn id="14" name="Collision P&#10;[deg]"/>
    <x:tableColumn id="15" name="Collision Yaw&#10;[deg]"/>
  </x:tableColumns>
  <x:tableStyleInfo name="TableStyleMedium2" showRowStripes="1"/>
</x:table>
</file>

<file path=xl/tables/table3.xml><?xml version="1.0" encoding="utf-8"?>
<x:table xmlns:x="http://schemas.openxmlformats.org/spreadsheetml/2006/main" id="3" name="LinkEngineeringTable" displayName="LinkEngineeringTable" ref="A4:K21" headerRowCount="1">
  <x:tableColumns count="11">
    <x:tableColumn id="1" name="Link"/>
    <x:tableColumn id="2" name="Zone"/>
    <x:tableColumn id="3" name="URDF mesh"/>
    <x:tableColumn id="4" name="Mass [g]"/>
    <x:tableColumn id="5" name="Mass [kg]"/>
    <x:tableColumn id="6" name="Assembly grouping"/>
    <x:tableColumn id="7" name="Material composition"/>
    <x:tableColumn id="8" name="Components from Engineering_Data"/>
    <x:tableColumn id="9" name="Fastener allocation"/>
    <x:tableColumn id="10" name="Inertial status"/>
    <x:tableColumn id="11" name="URDF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3632fb57ee49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06a6cc5bb641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033e6dd49543d3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3" hidden="0" customWidth="1"/>
    <x:col min="4" max="4" width="25" hidden="0" customWidth="1"/>
    <x:col min="5" max="5" width="11" hidden="0" customWidth="1"/>
    <x:col min="6" max="6" width="10" hidden="0" customWidth="1"/>
    <x:col min="7" max="7" width="7" hidden="0" customWidth="1"/>
    <x:col min="8" max="8" width="8" hidden="0" customWidth="1"/>
    <x:col min="9" max="9" width="8" hidden="0" customWidth="1"/>
    <x:col min="10" max="10" width="8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13" hidden="0" customWidth="1"/>
    <x:col min="21" max="21" width="11" hidden="0" customWidth="1"/>
    <x:col min="22" max="22" width="13" hidden="0" customWidth="1"/>
    <x:col min="23" max="23" width="13" hidden="0" customWidth="1"/>
    <x:col min="24" max="24" width="13" hidden="0" customWidth="1"/>
  </x:cols>
  <x:sheetData>
    <x:row r="1" ht="28" customHeight="1">
      <x:c r="A1" s="5" t="str">
        <x:v>MATDOG — matt_robodog_rev00 | Tabella cinematica canonica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REV00 — Kinematics lower limit -92°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7" ht="34" customHeight="1">
      <x:c r="A7" s="36" t="str">
        <x:v>Leg</x:v>
      </x:c>
      <x:c r="B7" s="36" t="str">
        <x:v>Joint</x:v>
      </x:c>
      <x:c r="C7" s="36" t="str">
        <x:v>Parent link</x:v>
      </x:c>
      <x:c r="D7" s="36" t="str">
        <x:v>Child link</x:v>
      </x:c>
      <x:c r="E7" s="36" t="str">
        <x:v>Type</x:v>
      </x:c>
      <x:c r="F7" s="36" t="str">
        <x:v>Motor ID</x:v>
      </x:c>
      <x:c r="G7" s="36" t="str">
        <x:v>Dir</x:v>
      </x:c>
      <x:c r="H7" s="36" t="str">
        <x:v>Axis X</x:v>
      </x:c>
      <x:c r="I7" s="36" t="str">
        <x:v>Axis Y</x:v>
      </x:c>
      <x:c r="J7" s="36" t="str">
        <x:v>Axis Z</x:v>
      </x:c>
      <x:c r="K7" s="36" t="str">
        <x:v>X parent
[mm]</x:v>
      </x:c>
      <x:c r="L7" s="36" t="str">
        <x:v>Y parent
[mm]</x:v>
      </x:c>
      <x:c r="M7" s="36" t="str">
        <x:v>Z parent
[mm]</x:v>
      </x:c>
      <x:c r="N7" s="36" t="str">
        <x:v>θ min
[deg]</x:v>
      </x:c>
      <x:c r="O7" s="36" t="str">
        <x:v>θ max
[deg]</x:v>
      </x:c>
      <x:c r="P7" s="36" t="str">
        <x:v>X parent
[m]</x:v>
      </x:c>
      <x:c r="Q7" s="36" t="str">
        <x:v>Y parent
[m]</x:v>
      </x:c>
      <x:c r="R7" s="36" t="str">
        <x:v>Z parent
[m]</x:v>
      </x:c>
      <x:c r="S7" s="36" t="str">
        <x:v>θ min
[rad]</x:v>
      </x:c>
      <x:c r="T7" s="36" t="str">
        <x:v>θ max
[rad]</x:v>
      </x:c>
      <x:c r="U7" s="36" t="str">
        <x:v>Speed
[rpm]</x:v>
      </x:c>
      <x:c r="V7" s="36" t="str">
        <x:v>Speed
[rad/s]</x:v>
      </x:c>
      <x:c r="W7" s="36" t="str">
        <x:v>Torque
[kg·cm]</x:v>
      </x:c>
      <x:c r="X7" s="36" t="str">
        <x:v>Effort
[N·m]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 t="n">
        <x:v>46.5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 t="n">
        <x:f>IF($E8="Fixed","",$M8/1000)</x:f>
        <x:v>0.0465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64" t="n">
        <x:v>29</x:v>
      </x:c>
      <x:c r="V8" s="76" t="n">
        <x:f>IF($E8="Fixed","",$U8*2*PI()/60)</x:f>
        <x:v>3.0368728984701336</x:v>
      </x:c>
      <x:c r="W8" s="64" t="n">
        <x:v>9.2</x:v>
      </x:c>
      <x:c r="X8" s="76" t="n">
        <x:f>IF($E8="Fixed","",$W8*0.09807)</x:f>
        <x:v>0.9022439999999999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64" t="n">
        <x:v>29</x:v>
      </x:c>
      <x:c r="V9" s="76" t="n">
        <x:f>IF($E9="Fixed","",$U9*2*PI()/60)</x:f>
        <x:v>3.0368728984701336</x:v>
      </x:c>
      <x:c r="W9" s="64" t="n">
        <x:v>9.2</x:v>
      </x:c>
      <x:c r="X9" s="76" t="n">
        <x:f>IF($E9="Fixed","",$W9*0.09807)</x:f>
        <x:v>0.9022439999999999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64" t="n">
        <x:v>29</x:v>
      </x:c>
      <x:c r="V10" s="76" t="n">
        <x:f>IF($E10="Fixed","",$U10*2*PI()/60)</x:f>
        <x:v>3.0368728984701336</x:v>
      </x:c>
      <x:c r="W10" s="64" t="n">
        <x:v>9.2</x:v>
      </x:c>
      <x:c r="X10" s="76" t="n">
        <x:f>IF($E10="Fixed","",$W10*0.09807)</x:f>
        <x:v>0.9022439999999999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65"/>
      <x:c r="V11" s="78" t="str">
        <x:f>IF($E11="Fixed","",$U11*2*PI()/60)</x:f>
      </x:c>
      <x:c r="W11" s="65"/>
      <x:c r="X11" s="78" t="str">
        <x:f>IF($E11="Fixed","",$W11*0.09807)</x:f>
      </x:c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 t="n">
        <x:v>46.5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 t="n">
        <x:f>IF($E12="Fixed","",$M12/1000)</x:f>
        <x:v>0.0465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64" t="n">
        <x:v>29</x:v>
      </x:c>
      <x:c r="V12" s="76" t="n">
        <x:f>IF($E12="Fixed","",$U12*2*PI()/60)</x:f>
        <x:v>3.0368728984701336</x:v>
      </x:c>
      <x:c r="W12" s="64" t="n">
        <x:v>9.2</x:v>
      </x:c>
      <x:c r="X12" s="76" t="n">
        <x:f>IF($E12="Fixed","",$W12*0.09807)</x:f>
        <x:v>0.9022439999999999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64" t="n">
        <x:v>29</x:v>
      </x:c>
      <x:c r="V13" s="76" t="n">
        <x:f>IF($E13="Fixed","",$U13*2*PI()/60)</x:f>
        <x:v>3.0368728984701336</x:v>
      </x:c>
      <x:c r="W13" s="64" t="n">
        <x:v>9.2</x:v>
      </x:c>
      <x:c r="X13" s="76" t="n">
        <x:f>IF($E13="Fixed","",$W13*0.09807)</x:f>
        <x:v>0.9022439999999999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64" t="n">
        <x:v>29</x:v>
      </x:c>
      <x:c r="V14" s="76" t="n">
        <x:f>IF($E14="Fixed","",$U14*2*PI()/60)</x:f>
        <x:v>3.0368728984701336</x:v>
      </x:c>
      <x:c r="W14" s="64" t="n">
        <x:v>9.2</x:v>
      </x:c>
      <x:c r="X14" s="76" t="n">
        <x:f>IF($E14="Fixed","",$W14*0.09807)</x:f>
        <x:v>0.9022439999999999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65"/>
      <x:c r="V15" s="78" t="str">
        <x:f>IF($E15="Fixed","",$U15*2*PI()/60)</x:f>
      </x:c>
      <x:c r="W15" s="65"/>
      <x:c r="X15" s="78" t="str">
        <x:f>IF($E15="Fixed","",$W15*0.09807)</x:f>
      </x:c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 t="n">
        <x:v>26.5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 t="n">
        <x:f>IF($E16="Fixed","",$M16/1000)</x:f>
        <x:v>0.0265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64" t="n">
        <x:v>29</x:v>
      </x:c>
      <x:c r="V16" s="76" t="n">
        <x:f>IF($E16="Fixed","",$U16*2*PI()/60)</x:f>
        <x:v>3.0368728984701336</x:v>
      </x:c>
      <x:c r="W16" s="64" t="n">
        <x:v>9.2</x:v>
      </x:c>
      <x:c r="X16" s="76" t="n">
        <x:f>IF($E16="Fixed","",$W16*0.09807)</x:f>
        <x:v>0.9022439999999999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64" t="n">
        <x:v>29</x:v>
      </x:c>
      <x:c r="V17" s="76" t="n">
        <x:f>IF($E17="Fixed","",$U17*2*PI()/60)</x:f>
        <x:v>3.0368728984701336</x:v>
      </x:c>
      <x:c r="W17" s="64" t="n">
        <x:v>9.2</x:v>
      </x:c>
      <x:c r="X17" s="76" t="n">
        <x:f>IF($E17="Fixed","",$W17*0.09807)</x:f>
        <x:v>0.9022439999999999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64" t="n">
        <x:v>29</x:v>
      </x:c>
      <x:c r="V18" s="76" t="n">
        <x:f>IF($E18="Fixed","",$U18*2*PI()/60)</x:f>
        <x:v>3.0368728984701336</x:v>
      </x:c>
      <x:c r="W18" s="64" t="n">
        <x:v>9.2</x:v>
      </x:c>
      <x:c r="X18" s="76" t="n">
        <x:f>IF($E18="Fixed","",$W18*0.09807)</x:f>
        <x:v>0.9022439999999999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65"/>
      <x:c r="V19" s="78" t="str">
        <x:f>IF($E19="Fixed","",$U19*2*PI()/60)</x:f>
      </x:c>
      <x:c r="W19" s="65"/>
      <x:c r="X19" s="78" t="str">
        <x:f>IF($E19="Fixed","",$W19*0.09807)</x:f>
      </x:c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 t="n">
        <x:v>26.5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 t="n">
        <x:f>IF($E20="Fixed","",$M20/1000)</x:f>
        <x:v>0.0265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64" t="n">
        <x:v>29</x:v>
      </x:c>
      <x:c r="V20" s="76" t="n">
        <x:f>IF($E20="Fixed","",$U20*2*PI()/60)</x:f>
        <x:v>3.0368728984701336</x:v>
      </x:c>
      <x:c r="W20" s="64" t="n">
        <x:v>9.2</x:v>
      </x:c>
      <x:c r="X20" s="76" t="n">
        <x:f>IF($E20="Fixed","",$W20*0.09807)</x:f>
        <x:v>0.9022439999999999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64" t="n">
        <x:v>29</x:v>
      </x:c>
      <x:c r="V21" s="76" t="n">
        <x:f>IF($E21="Fixed","",$U21*2*PI()/60)</x:f>
        <x:v>3.0368728984701336</x:v>
      </x:c>
      <x:c r="W21" s="64" t="n">
        <x:v>9.2</x:v>
      </x:c>
      <x:c r="X21" s="76" t="n">
        <x:f>IF($E21="Fixed","",$W21*0.09807)</x:f>
        <x:v>0.9022439999999999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64" t="n">
        <x:v>29</x:v>
      </x:c>
      <x:c r="V22" s="76" t="n">
        <x:f>IF($E22="Fixed","",$U22*2*PI()/60)</x:f>
        <x:v>3.0368728984701336</x:v>
      </x:c>
      <x:c r="W22" s="64" t="n">
        <x:v>9.2</x:v>
      </x:c>
      <x:c r="X22" s="76" t="n">
        <x:f>IF($E22="Fixed","",$W22*0.09807)</x:f>
        <x:v>0.9022439999999999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65"/>
      <x:c r="V23" s="78" t="str">
        <x:f>IF($E23="Fixed","",$U23*2*PI()/60)</x:f>
      </x:c>
      <x:c r="W23" s="65"/>
      <x:c r="X23" s="78" t="str">
        <x:f>IF($E23="Fixed","",$W23*0.09807)</x:f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783632fb57ee492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3" hidden="0" customWidth="1"/>
    <x:col min="18" max="18" width="28" hidden="0" customWidth="1"/>
    <x:col min="19" max="19" width="48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16" hidden="0" customWidth="1"/>
    <x:col min="25" max="25" width="18" hidden="0" customWidth="1"/>
    <x:col min="26" max="26" width="13" hidden="0" customWidth="1"/>
    <x:col min="27" max="27" width="17" hidden="0" customWidth="1"/>
  </x:cols>
  <x:sheetData>
    <x:row r="1" ht="24" customHeight="1">
      <x:c r="A1" s="404" t="str">
        <x:v>MATDOG — Mesh visual + collision + proprietà dinamiche · STL mm → URDF m</x:v>
      </x:c>
      <x:c r="B1" s="404"/>
      <x:c r="C1" s="404"/>
      <x:c r="D1" s="404"/>
      <x:c r="E1" s="404"/>
      <x:c r="F1" s="404"/>
      <x:c r="G1" s="404"/>
      <x:c r="H1" s="404"/>
      <x:c r="I1" s="404"/>
      <x:c r="J1" s="404"/>
      <x:c r="K1" s="404"/>
      <x:c r="L1" s="404"/>
      <x:c r="M1" s="404"/>
      <x:c r="N1" s="404"/>
      <x:c r="O1" s="404"/>
      <x:c r="P1" s="404"/>
      <x:c r="Q1" s="404"/>
      <x:c r="R1" s="404"/>
      <x:c r="S1" s="404"/>
      <x:c r="T1" s="404"/>
      <x:c r="U1" s="404"/>
      <x:c r="V1" s="404"/>
      <x:c r="W1" s="404"/>
      <x:c r="X1" s="156"/>
      <x:c r="Y1" s="156"/>
      <x:c r="Z1" s="156"/>
      <x:c r="AA1" s="156"/>
    </x:row>
    <x:row r="2" ht="36" customHeight="1">
      <x:c r="A2" s="399" t="str">
        <x:v>Origini mesh visual/collision: xyz = 0,0,0 m · rpy = 0°,0°,0°. Gli STL CAD restano in millimetri; ogni &lt;mesh&gt; URDF applica scale="0.001 0.001 0.001".</x:v>
      </x:c>
      <x:c r="B2" s="399"/>
      <x:c r="C2" s="399"/>
      <x:c r="D2" s="399"/>
      <x:c r="E2" s="399"/>
      <x:c r="F2" s="399"/>
      <x:c r="G2" s="399"/>
      <x:c r="H2" s="399"/>
      <x:c r="I2" s="399"/>
      <x:c r="J2" s="399"/>
      <x:c r="K2" s="399"/>
      <x:c r="L2" s="399"/>
      <x:c r="M2" s="399"/>
      <x:c r="N2" s="399"/>
      <x:c r="O2" s="399"/>
      <x:c r="P2" s="399"/>
      <x:c r="Q2" s="399"/>
      <x:c r="R2" s="399"/>
      <x:c r="S2" s="399"/>
      <x:c r="T2" s="399"/>
      <x:c r="U2" s="399"/>
      <x:c r="V2" s="399"/>
      <x:c r="W2" s="399"/>
      <x:c r="X2" s="156"/>
      <x:c r="Y2" s="156"/>
      <x:c r="Z2" s="156"/>
      <x:c r="AA2" s="156"/>
    </x:row>
    <x:row r="5" ht="34" customHeight="1">
      <x:c r="A5" s="345" t="str">
        <x:v>Link</x:v>
      </x:c>
      <x:c r="B5" s="345" t="str">
        <x:v>Visual mesh</x:v>
      </x:c>
      <x:c r="C5" s="345" t="str">
        <x:v>Collision mesh</x:v>
      </x:c>
      <x:c r="D5" s="345" t="str">
        <x:v>Visual X
[m]</x:v>
      </x:c>
      <x:c r="E5" s="345" t="str">
        <x:v>Visual Y
[m]</x:v>
      </x:c>
      <x:c r="F5" s="345" t="str">
        <x:v>Visual Z
[m]</x:v>
      </x:c>
      <x:c r="G5" s="345" t="str">
        <x:v>Visual R
[deg]</x:v>
      </x:c>
      <x:c r="H5" s="345" t="str">
        <x:v>Visual P
[deg]</x:v>
      </x:c>
      <x:c r="I5" s="345" t="str">
        <x:v>Visual Yaw
[deg]</x:v>
      </x:c>
      <x:c r="J5" s="345" t="str">
        <x:v>Collision X
[m]</x:v>
      </x:c>
      <x:c r="K5" s="345" t="str">
        <x:v>Collision Y
[m]</x:v>
      </x:c>
      <x:c r="L5" s="345" t="str">
        <x:v>Collision Z
[m]</x:v>
      </x:c>
      <x:c r="M5" s="345" t="str">
        <x:v>Collision R
[deg]</x:v>
      </x:c>
      <x:c r="N5" s="345" t="str">
        <x:v>Collision P
[deg]</x:v>
      </x:c>
      <x:c r="O5" s="345" t="str">
        <x:v>Collision Yaw
[deg]</x:v>
      </x:c>
      <x:c r="P5" s="345" t="str">
        <x:v>Mass
[g]</x:v>
      </x:c>
      <x:c r="Q5" s="345" t="str">
        <x:v>Mass
[kg]</x:v>
      </x:c>
      <x:c r="R5" s="345" t="str">
        <x:v>Engineering material / composition</x:v>
      </x:c>
      <x:c r="S5" s="345" t="str">
        <x:v>Weight roll-up components</x:v>
      </x:c>
      <x:c r="T5" s="345" t="str">
        <x:v>Fastener allocation</x:v>
      </x:c>
      <x:c r="U5" s="345" t="str">
        <x:v>CoM status</x:v>
      </x:c>
      <x:c r="V5" s="345" t="str">
        <x:v>Inertia status</x:v>
      </x:c>
      <x:c r="W5" s="345" t="str">
        <x:v>URDF metadata</x:v>
      </x:c>
      <x:c r="X5" s="156" t="str">
        <x:v>Visual scale
[STL → URDF]</x:v>
      </x:c>
      <x:c r="Y5" s="156" t="str">
        <x:v>Collision scale
[STL → URDF]</x:v>
      </x:c>
      <x:c r="Z5" s="156" t="str">
        <x:v>STL source unit</x:v>
      </x:c>
      <x:c r="AA5" s="156" t="str">
        <x:v>URDF geometry unit</x:v>
      </x:c>
    </x:row>
    <x:row r="6" ht="19" customHeight="1">
      <x:c r="A6" s="359" t="str">
        <x:v>base_link</x:v>
      </x:c>
      <x:c r="B6" s="359" t="str">
        <x:v>meshes/base_link.stl</x:v>
      </x:c>
      <x:c r="C6" s="359" t="str">
        <x:v>meshes/base_link.stl</x:v>
      </x:c>
      <x:c r="D6" s="360" t="n">
        <x:v>0</x:v>
      </x:c>
      <x:c r="E6" s="360" t="n">
        <x:v>0</x:v>
      </x:c>
      <x:c r="F6" s="360" t="n">
        <x:v>0</x:v>
      </x:c>
      <x:c r="G6" s="361" t="n">
        <x:v>0</x:v>
      </x:c>
      <x:c r="H6" s="361" t="n">
        <x:v>0</x:v>
      </x:c>
      <x:c r="I6" s="361" t="n">
        <x:v>0</x:v>
      </x:c>
      <x:c r="J6" s="360" t="n">
        <x:v>0</x:v>
      </x:c>
      <x:c r="K6" s="360" t="n">
        <x:v>0</x:v>
      </x:c>
      <x:c r="L6" s="360" t="n">
        <x:v>0</x:v>
      </x:c>
      <x:c r="M6" s="361" t="n">
        <x:v>0</x:v>
      </x:c>
      <x:c r="N6" s="361" t="n">
        <x:v>0</x:v>
      </x:c>
      <x:c r="O6" s="361" t="n">
        <x:v>0</x:v>
      </x:c>
      <x:c r="P6" s="306" t="n">
        <x:v>1282</x:v>
      </x:c>
      <x:c r="Q6" s="306" t="n">
        <x:v>1.282</x:v>
      </x:c>
      <x:c r="R6" s="301" t="str">
        <x:v>CAD physical-property report</x:v>
      </x:c>
      <x:c r="S6" s="301" t="str">
        <x:v>physprop__base_link.txt + weight_breakdown_summary.txt</x:v>
      </x:c>
      <x:c r="T6" s="301" t="str">
        <x:v>CoM available</x:v>
      </x:c>
      <x:c r="U6" s="301" t="str">
        <x:v>Tensor available</x:v>
      </x:c>
      <x:c r="V6" s="301" t="str">
        <x:v>URDF &lt;inertial&gt; inserted</x:v>
      </x:c>
      <x:c r="W6" s="301" t="str">
        <x:v>Simulation-ready · mesh scale=0.001</x:v>
      </x:c>
      <x:c r="X6" s="156" t="str">
        <x:v>0.001 0.001 0.001</x:v>
      </x:c>
      <x:c r="Y6" s="156" t="str">
        <x:v>0.001 0.001 0.001</x:v>
      </x:c>
      <x:c r="Z6" s="156" t="str">
        <x:v>mm</x:v>
      </x:c>
      <x:c r="AA6" s="156" t="str">
        <x:v>m</x:v>
      </x:c>
    </x:row>
    <x:row r="7" ht="19" customHeight="1">
      <x:c r="A7" s="359" t="str">
        <x:v>lf_hip_link</x:v>
      </x:c>
      <x:c r="B7" s="359" t="str">
        <x:v>meshes/lf_hip_link.stl</x:v>
      </x:c>
      <x:c r="C7" s="359" t="str">
        <x:v>meshes/lf_hip_link.stl</x:v>
      </x:c>
      <x:c r="D7" s="360" t="n">
        <x:v>0</x:v>
      </x:c>
      <x:c r="E7" s="360" t="n">
        <x:v>0</x:v>
      </x:c>
      <x:c r="F7" s="360" t="n">
        <x:v>0</x:v>
      </x:c>
      <x:c r="G7" s="361" t="n">
        <x:v>0</x:v>
      </x:c>
      <x:c r="H7" s="361" t="n">
        <x:v>0</x:v>
      </x:c>
      <x:c r="I7" s="361" t="n">
        <x:v>0</x:v>
      </x:c>
      <x:c r="J7" s="360" t="n">
        <x:v>0</x:v>
      </x:c>
      <x:c r="K7" s="360" t="n">
        <x:v>0</x:v>
      </x:c>
      <x:c r="L7" s="360" t="n">
        <x:v>0</x:v>
      </x:c>
      <x:c r="M7" s="361" t="n">
        <x:v>0</x:v>
      </x:c>
      <x:c r="N7" s="361" t="n">
        <x:v>0</x:v>
      </x:c>
      <x:c r="O7" s="361" t="n">
        <x:v>0</x:v>
      </x:c>
      <x:c r="P7" s="306" t="n">
        <x:v>50</x:v>
      </x:c>
      <x:c r="Q7" s="306" t="n">
        <x:v>0.05</x:v>
      </x:c>
      <x:c r="R7" s="301" t="str">
        <x:v>CAD physical-property report</x:v>
      </x:c>
      <x:c r="S7" s="301" t="str">
        <x:v>physprop__lf_hip_link.txt + weight_breakdown_summary.txt</x:v>
      </x:c>
      <x:c r="T7" s="301" t="str">
        <x:v>CoM available</x:v>
      </x:c>
      <x:c r="U7" s="301" t="str">
        <x:v>Tensor available</x:v>
      </x:c>
      <x:c r="V7" s="301" t="str">
        <x:v>URDF &lt;inertial&gt; inserted</x:v>
      </x:c>
      <x:c r="W7" s="301" t="str">
        <x:v>Simulation-ready · mesh scale=0.001</x:v>
      </x:c>
      <x:c r="X7" s="156" t="str">
        <x:v>0.001 0.001 0.001</x:v>
      </x:c>
      <x:c r="Y7" s="156" t="str">
        <x:v>0.001 0.001 0.001</x:v>
      </x:c>
      <x:c r="Z7" s="156" t="str">
        <x:v>mm</x:v>
      </x:c>
      <x:c r="AA7" s="156" t="str">
        <x:v>m</x:v>
      </x:c>
    </x:row>
    <x:row r="8" ht="19" customHeight="1">
      <x:c r="A8" s="362" t="str">
        <x:v>lf_upper_leg_link</x:v>
      </x:c>
      <x:c r="B8" s="362" t="str">
        <x:v>meshes/lf_upper_leg_link.stl</x:v>
      </x:c>
      <x:c r="C8" s="362" t="str">
        <x:v>meshes/lf_upper_leg_link.stl</x:v>
      </x:c>
      <x:c r="D8" s="363" t="n">
        <x:v>0</x:v>
      </x:c>
      <x:c r="E8" s="363" t="n">
        <x:v>0</x:v>
      </x:c>
      <x:c r="F8" s="363" t="n">
        <x:v>0</x:v>
      </x:c>
      <x:c r="G8" s="364" t="n">
        <x:v>0</x:v>
      </x:c>
      <x:c r="H8" s="364" t="n">
        <x:v>0</x:v>
      </x:c>
      <x:c r="I8" s="364" t="n">
        <x:v>0</x:v>
      </x:c>
      <x:c r="J8" s="363" t="n">
        <x:v>0</x:v>
      </x:c>
      <x:c r="K8" s="363" t="n">
        <x:v>0</x:v>
      </x:c>
      <x:c r="L8" s="363" t="n">
        <x:v>0</x:v>
      </x:c>
      <x:c r="M8" s="364" t="n">
        <x:v>0</x:v>
      </x:c>
      <x:c r="N8" s="364" t="n">
        <x:v>0</x:v>
      </x:c>
      <x:c r="O8" s="364" t="n">
        <x:v>0</x:v>
      </x:c>
      <x:c r="P8" s="306" t="n">
        <x:v>172.5</x:v>
      </x:c>
      <x:c r="Q8" s="306" t="n">
        <x:v>0.1725</x:v>
      </x:c>
      <x:c r="R8" s="301" t="str">
        <x:v>CAD physical-property report</x:v>
      </x:c>
      <x:c r="S8" s="301" t="str">
        <x:v>physprop__lf_upper_leg_link.txt + weight_breakdown_summary.txt</x:v>
      </x:c>
      <x:c r="T8" s="301" t="str">
        <x:v>CoM available</x:v>
      </x:c>
      <x:c r="U8" s="301" t="str">
        <x:v>Tensor available</x:v>
      </x:c>
      <x:c r="V8" s="301" t="str">
        <x:v>URDF &lt;inertial&gt; inserted</x:v>
      </x:c>
      <x:c r="W8" s="301" t="str">
        <x:v>Simulation-ready · mesh scale=0.001</x:v>
      </x:c>
      <x:c r="X8" s="156" t="str">
        <x:v>0.001 0.001 0.001</x:v>
      </x:c>
      <x:c r="Y8" s="156" t="str">
        <x:v>0.001 0.001 0.001</x:v>
      </x:c>
      <x:c r="Z8" s="156" t="str">
        <x:v>mm</x:v>
      </x:c>
      <x:c r="AA8" s="156" t="str">
        <x:v>m</x:v>
      </x:c>
    </x:row>
    <x:row r="9" ht="19" customHeight="1">
      <x:c r="A9" s="359" t="str">
        <x:v>lf_lower_leg_link</x:v>
      </x:c>
      <x:c r="B9" s="359" t="str">
        <x:v>meshes/lf_lower_leg_link.stl</x:v>
      </x:c>
      <x:c r="C9" s="359" t="str">
        <x:v>meshes/lf_lower_leg_link.stl</x:v>
      </x:c>
      <x:c r="D9" s="360" t="n">
        <x:v>0</x:v>
      </x:c>
      <x:c r="E9" s="360" t="n">
        <x:v>0</x:v>
      </x:c>
      <x:c r="F9" s="360" t="n">
        <x:v>0</x:v>
      </x:c>
      <x:c r="G9" s="361" t="n">
        <x:v>0</x:v>
      </x:c>
      <x:c r="H9" s="361" t="n">
        <x:v>0</x:v>
      </x:c>
      <x:c r="I9" s="361" t="n">
        <x:v>0</x:v>
      </x:c>
      <x:c r="J9" s="360" t="n">
        <x:v>0</x:v>
      </x:c>
      <x:c r="K9" s="360" t="n">
        <x:v>0</x:v>
      </x:c>
      <x:c r="L9" s="360" t="n">
        <x:v>0</x:v>
      </x:c>
      <x:c r="M9" s="361" t="n">
        <x:v>0</x:v>
      </x:c>
      <x:c r="N9" s="361" t="n">
        <x:v>0</x:v>
      </x:c>
      <x:c r="O9" s="361" t="n">
        <x:v>0</x:v>
      </x:c>
      <x:c r="P9" s="306" t="n">
        <x:v>59.5</x:v>
      </x:c>
      <x:c r="Q9" s="306" t="n">
        <x:v>0.0595</x:v>
      </x:c>
      <x:c r="R9" s="301" t="str">
        <x:v>CAD physical-property report</x:v>
      </x:c>
      <x:c r="S9" s="301" t="str">
        <x:v>physprop__lf_lower_leg_link.txt + weight_breakdown_summary.txt</x:v>
      </x:c>
      <x:c r="T9" s="301" t="str">
        <x:v>CoM available</x:v>
      </x:c>
      <x:c r="U9" s="301" t="str">
        <x:v>Tensor available</x:v>
      </x:c>
      <x:c r="V9" s="301" t="str">
        <x:v>URDF &lt;inertial&gt; inserted</x:v>
      </x:c>
      <x:c r="W9" s="301" t="str">
        <x:v>Simulation-ready · mesh scale=0.001</x:v>
      </x:c>
      <x:c r="X9" s="156" t="str">
        <x:v>0.001 0.001 0.001</x:v>
      </x:c>
      <x:c r="Y9" s="156" t="str">
        <x:v>0.001 0.001 0.001</x:v>
      </x:c>
      <x:c r="Z9" s="156" t="str">
        <x:v>mm</x:v>
      </x:c>
      <x:c r="AA9" s="156" t="str">
        <x:v>m</x:v>
      </x:c>
    </x:row>
    <x:row r="10" ht="19" customHeight="1">
      <x:c r="A10" s="359" t="str">
        <x:v>lf_foot_link</x:v>
      </x:c>
      <x:c r="B10" s="359" t="str">
        <x:v>meshes/lf_foot_link.stl</x:v>
      </x:c>
      <x:c r="C10" s="359" t="str">
        <x:v>meshes/lf_foot_link.stl</x:v>
      </x:c>
      <x:c r="D10" s="360" t="n">
        <x:v>0</x:v>
      </x:c>
      <x:c r="E10" s="360" t="n">
        <x:v>0</x:v>
      </x:c>
      <x:c r="F10" s="360" t="n">
        <x:v>0</x:v>
      </x:c>
      <x:c r="G10" s="361" t="n">
        <x:v>0</x:v>
      </x:c>
      <x:c r="H10" s="361" t="n">
        <x:v>0</x:v>
      </x:c>
      <x:c r="I10" s="361" t="n">
        <x:v>0</x:v>
      </x:c>
      <x:c r="J10" s="360" t="n">
        <x:v>0</x:v>
      </x:c>
      <x:c r="K10" s="360" t="n">
        <x:v>0</x:v>
      </x:c>
      <x:c r="L10" s="360" t="n">
        <x:v>0</x:v>
      </x:c>
      <x:c r="M10" s="361" t="n">
        <x:v>0</x:v>
      </x:c>
      <x:c r="N10" s="361" t="n">
        <x:v>0</x:v>
      </x:c>
      <x:c r="O10" s="361" t="n">
        <x:v>0</x:v>
      </x:c>
      <x:c r="P10" s="306" t="n">
        <x:v>17.5</x:v>
      </x:c>
      <x:c r="Q10" s="306" t="n">
        <x:v>0.0175</x:v>
      </x:c>
      <x:c r="R10" s="301" t="str">
        <x:v>CAD physical-property report</x:v>
      </x:c>
      <x:c r="S10" s="301" t="str">
        <x:v>physprop__lf_foot_link.txt + weight_breakdown_summary.txt</x:v>
      </x:c>
      <x:c r="T10" s="301" t="str">
        <x:v>CoM available</x:v>
      </x:c>
      <x:c r="U10" s="301" t="str">
        <x:v>Tensor available</x:v>
      </x:c>
      <x:c r="V10" s="301" t="str">
        <x:v>URDF &lt;inertial&gt; inserted</x:v>
      </x:c>
      <x:c r="W10" s="301" t="str">
        <x:v>Simulation-ready · mesh scale=0.001</x:v>
      </x:c>
      <x:c r="X10" s="156" t="str">
        <x:v>0.001 0.001 0.001</x:v>
      </x:c>
      <x:c r="Y10" s="156" t="str">
        <x:v>0.001 0.001 0.001</x:v>
      </x:c>
      <x:c r="Z10" s="156" t="str">
        <x:v>mm</x:v>
      </x:c>
      <x:c r="AA10" s="156" t="str">
        <x:v>m</x:v>
      </x:c>
    </x:row>
    <x:row r="11" ht="19" customHeight="1">
      <x:c r="A11" s="359" t="str">
        <x:v>rf_hip_link</x:v>
      </x:c>
      <x:c r="B11" s="359" t="str">
        <x:v>meshes/rf_hip_link.stl</x:v>
      </x:c>
      <x:c r="C11" s="359" t="str">
        <x:v>meshes/rf_hip_link.stl</x:v>
      </x:c>
      <x:c r="D11" s="360" t="n">
        <x:v>0</x:v>
      </x:c>
      <x:c r="E11" s="360" t="n">
        <x:v>0</x:v>
      </x:c>
      <x:c r="F11" s="360" t="n">
        <x:v>0</x:v>
      </x:c>
      <x:c r="G11" s="361" t="n">
        <x:v>0</x:v>
      </x:c>
      <x:c r="H11" s="361" t="n">
        <x:v>0</x:v>
      </x:c>
      <x:c r="I11" s="361" t="n">
        <x:v>0</x:v>
      </x:c>
      <x:c r="J11" s="360" t="n">
        <x:v>0</x:v>
      </x:c>
      <x:c r="K11" s="360" t="n">
        <x:v>0</x:v>
      </x:c>
      <x:c r="L11" s="360" t="n">
        <x:v>0</x:v>
      </x:c>
      <x:c r="M11" s="361" t="n">
        <x:v>0</x:v>
      </x:c>
      <x:c r="N11" s="361" t="n">
        <x:v>0</x:v>
      </x:c>
      <x:c r="O11" s="361" t="n">
        <x:v>0</x:v>
      </x:c>
      <x:c r="P11" s="306" t="n">
        <x:v>50</x:v>
      </x:c>
      <x:c r="Q11" s="306" t="n">
        <x:v>0.05</x:v>
      </x:c>
      <x:c r="R11" s="301" t="str">
        <x:v>CAD physical-property report</x:v>
      </x:c>
      <x:c r="S11" s="301" t="str">
        <x:v>physprop__lf_hip_link.txt + weight_breakdown_summary.txt</x:v>
      </x:c>
      <x:c r="T11" s="301" t="str">
        <x:v>CoM available</x:v>
      </x:c>
      <x:c r="U11" s="301" t="str">
        <x:v>Tensor available</x:v>
      </x:c>
      <x:c r="V11" s="301" t="str">
        <x:v>URDF &lt;inertial&gt; inserted</x:v>
      </x:c>
      <x:c r="W11" s="301" t="str">
        <x:v>Simulation-ready · mesh scale=0.001</x:v>
      </x:c>
      <x:c r="X11" s="156" t="str">
        <x:v>0.001 0.001 0.001</x:v>
      </x:c>
      <x:c r="Y11" s="156" t="str">
        <x:v>0.001 0.001 0.001</x:v>
      </x:c>
      <x:c r="Z11" s="156" t="str">
        <x:v>mm</x:v>
      </x:c>
      <x:c r="AA11" s="156" t="str">
        <x:v>m</x:v>
      </x:c>
    </x:row>
    <x:row r="12" ht="19" customHeight="1">
      <x:c r="A12" s="362" t="str">
        <x:v>rf_upper_leg_link</x:v>
      </x:c>
      <x:c r="B12" s="362" t="str">
        <x:v>meshes/rf_upper_leg_link.stl</x:v>
      </x:c>
      <x:c r="C12" s="362" t="str">
        <x:v>meshes/rf_upper_leg_link.stl</x:v>
      </x:c>
      <x:c r="D12" s="363" t="n">
        <x:v>0</x:v>
      </x:c>
      <x:c r="E12" s="363" t="n">
        <x:v>0</x:v>
      </x:c>
      <x:c r="F12" s="363" t="n">
        <x:v>0</x:v>
      </x:c>
      <x:c r="G12" s="364" t="n">
        <x:v>0</x:v>
      </x:c>
      <x:c r="H12" s="364" t="n">
        <x:v>0</x:v>
      </x:c>
      <x:c r="I12" s="364" t="n">
        <x:v>0</x:v>
      </x:c>
      <x:c r="J12" s="363" t="n">
        <x:v>0</x:v>
      </x:c>
      <x:c r="K12" s="363" t="n">
        <x:v>0</x:v>
      </x:c>
      <x:c r="L12" s="363" t="n">
        <x:v>0</x:v>
      </x:c>
      <x:c r="M12" s="364" t="n">
        <x:v>0</x:v>
      </x:c>
      <x:c r="N12" s="364" t="n">
        <x:v>0</x:v>
      </x:c>
      <x:c r="O12" s="364" t="n">
        <x:v>0</x:v>
      </x:c>
      <x:c r="P12" s="306" t="n">
        <x:v>172.5</x:v>
      </x:c>
      <x:c r="Q12" s="306" t="n">
        <x:v>0.1725</x:v>
      </x:c>
      <x:c r="R12" s="301" t="str">
        <x:v>CAD physical-property report</x:v>
      </x:c>
      <x:c r="S12" s="301" t="str">
        <x:v>physprop__lf_upper_leg_link.txt + weight_breakdown_summary.txt</x:v>
      </x:c>
      <x:c r="T12" s="301" t="str">
        <x:v>CoM available</x:v>
      </x:c>
      <x:c r="U12" s="301" t="str">
        <x:v>Tensor available</x:v>
      </x:c>
      <x:c r="V12" s="301" t="str">
        <x:v>URDF &lt;inertial&gt; inserted</x:v>
      </x:c>
      <x:c r="W12" s="301" t="str">
        <x:v>Simulation-ready · mesh scale=0.001</x:v>
      </x:c>
      <x:c r="X12" s="156" t="str">
        <x:v>0.001 0.001 0.001</x:v>
      </x:c>
      <x:c r="Y12" s="156" t="str">
        <x:v>0.001 0.001 0.001</x:v>
      </x:c>
      <x:c r="Z12" s="156" t="str">
        <x:v>mm</x:v>
      </x:c>
      <x:c r="AA12" s="156" t="str">
        <x:v>m</x:v>
      </x:c>
    </x:row>
    <x:row r="13" ht="19" customHeight="1">
      <x:c r="A13" s="359" t="str">
        <x:v>rf_lower_leg_link</x:v>
      </x:c>
      <x:c r="B13" s="359" t="str">
        <x:v>meshes/rf_lower_leg_link.stl</x:v>
      </x:c>
      <x:c r="C13" s="359" t="str">
        <x:v>meshes/rf_lower_leg_link.stl</x:v>
      </x:c>
      <x:c r="D13" s="360" t="n">
        <x:v>0</x:v>
      </x:c>
      <x:c r="E13" s="360" t="n">
        <x:v>0</x:v>
      </x:c>
      <x:c r="F13" s="360" t="n">
        <x:v>0</x:v>
      </x:c>
      <x:c r="G13" s="361" t="n">
        <x:v>0</x:v>
      </x:c>
      <x:c r="H13" s="361" t="n">
        <x:v>0</x:v>
      </x:c>
      <x:c r="I13" s="361" t="n">
        <x:v>0</x:v>
      </x:c>
      <x:c r="J13" s="360" t="n">
        <x:v>0</x:v>
      </x:c>
      <x:c r="K13" s="360" t="n">
        <x:v>0</x:v>
      </x:c>
      <x:c r="L13" s="360" t="n">
        <x:v>0</x:v>
      </x:c>
      <x:c r="M13" s="361" t="n">
        <x:v>0</x:v>
      </x:c>
      <x:c r="N13" s="361" t="n">
        <x:v>0</x:v>
      </x:c>
      <x:c r="O13" s="361" t="n">
        <x:v>0</x:v>
      </x:c>
      <x:c r="P13" s="306" t="n">
        <x:v>59.5</x:v>
      </x:c>
      <x:c r="Q13" s="306" t="n">
        <x:v>0.0595</x:v>
      </x:c>
      <x:c r="R13" s="301" t="str">
        <x:v>CAD physical-property report</x:v>
      </x:c>
      <x:c r="S13" s="301" t="str">
        <x:v>physprop__lf_lower_leg_link.txt + weight_breakdown_summary.txt</x:v>
      </x:c>
      <x:c r="T13" s="301" t="str">
        <x:v>CoM available</x:v>
      </x:c>
      <x:c r="U13" s="301" t="str">
        <x:v>Tensor available</x:v>
      </x:c>
      <x:c r="V13" s="301" t="str">
        <x:v>URDF &lt;inertial&gt; inserted</x:v>
      </x:c>
      <x:c r="W13" s="301" t="str">
        <x:v>Simulation-ready · mesh scale=0.001</x:v>
      </x:c>
      <x:c r="X13" s="156" t="str">
        <x:v>0.001 0.001 0.001</x:v>
      </x:c>
      <x:c r="Y13" s="156" t="str">
        <x:v>0.001 0.001 0.001</x:v>
      </x:c>
      <x:c r="Z13" s="156" t="str">
        <x:v>mm</x:v>
      </x:c>
      <x:c r="AA13" s="156" t="str">
        <x:v>m</x:v>
      </x:c>
    </x:row>
    <x:row r="14" ht="19" customHeight="1">
      <x:c r="A14" s="359" t="str">
        <x:v>rf_foot_link</x:v>
      </x:c>
      <x:c r="B14" s="359" t="str">
        <x:v>meshes/rf_foot_link.stl</x:v>
      </x:c>
      <x:c r="C14" s="359" t="str">
        <x:v>meshes/rf_foot_link.stl</x:v>
      </x:c>
      <x:c r="D14" s="360" t="n">
        <x:v>0</x:v>
      </x:c>
      <x:c r="E14" s="360" t="n">
        <x:v>0</x:v>
      </x:c>
      <x:c r="F14" s="360" t="n">
        <x:v>0</x:v>
      </x:c>
      <x:c r="G14" s="361" t="n">
        <x:v>0</x:v>
      </x:c>
      <x:c r="H14" s="361" t="n">
        <x:v>0</x:v>
      </x:c>
      <x:c r="I14" s="361" t="n">
        <x:v>0</x:v>
      </x:c>
      <x:c r="J14" s="360" t="n">
        <x:v>0</x:v>
      </x:c>
      <x:c r="K14" s="360" t="n">
        <x:v>0</x:v>
      </x:c>
      <x:c r="L14" s="360" t="n">
        <x:v>0</x:v>
      </x:c>
      <x:c r="M14" s="361" t="n">
        <x:v>0</x:v>
      </x:c>
      <x:c r="N14" s="361" t="n">
        <x:v>0</x:v>
      </x:c>
      <x:c r="O14" s="361" t="n">
        <x:v>0</x:v>
      </x:c>
      <x:c r="P14" s="306" t="n">
        <x:v>17.5</x:v>
      </x:c>
      <x:c r="Q14" s="306" t="n">
        <x:v>0.0175</x:v>
      </x:c>
      <x:c r="R14" s="301" t="str">
        <x:v>CAD physical-property report</x:v>
      </x:c>
      <x:c r="S14" s="301" t="str">
        <x:v>physprop__lf_foot_link.txt + weight_breakdown_summary.txt</x:v>
      </x:c>
      <x:c r="T14" s="301" t="str">
        <x:v>CoM available</x:v>
      </x:c>
      <x:c r="U14" s="301" t="str">
        <x:v>Tensor available</x:v>
      </x:c>
      <x:c r="V14" s="301" t="str">
        <x:v>URDF &lt;inertial&gt; inserted</x:v>
      </x:c>
      <x:c r="W14" s="301" t="str">
        <x:v>Simulation-ready · mesh scale=0.001</x:v>
      </x:c>
      <x:c r="X14" s="156" t="str">
        <x:v>0.001 0.001 0.001</x:v>
      </x:c>
      <x:c r="Y14" s="156" t="str">
        <x:v>0.001 0.001 0.001</x:v>
      </x:c>
      <x:c r="Z14" s="156" t="str">
        <x:v>mm</x:v>
      </x:c>
      <x:c r="AA14" s="156" t="str">
        <x:v>m</x:v>
      </x:c>
    </x:row>
    <x:row r="15" ht="19" customHeight="1">
      <x:c r="A15" s="359" t="str">
        <x:v>rh_hip_link</x:v>
      </x:c>
      <x:c r="B15" s="359" t="str">
        <x:v>meshes/rh_hip_link.stl</x:v>
      </x:c>
      <x:c r="C15" s="359" t="str">
        <x:v>meshes/rh_hip_link.stl</x:v>
      </x:c>
      <x:c r="D15" s="360" t="n">
        <x:v>0</x:v>
      </x:c>
      <x:c r="E15" s="360" t="n">
        <x:v>0</x:v>
      </x:c>
      <x:c r="F15" s="360" t="n">
        <x:v>0</x:v>
      </x:c>
      <x:c r="G15" s="361" t="n">
        <x:v>0</x:v>
      </x:c>
      <x:c r="H15" s="361" t="n">
        <x:v>0</x:v>
      </x:c>
      <x:c r="I15" s="361" t="n">
        <x:v>0</x:v>
      </x:c>
      <x:c r="J15" s="360" t="n">
        <x:v>0</x:v>
      </x:c>
      <x:c r="K15" s="360" t="n">
        <x:v>0</x:v>
      </x:c>
      <x:c r="L15" s="360" t="n">
        <x:v>0</x:v>
      </x:c>
      <x:c r="M15" s="361" t="n">
        <x:v>0</x:v>
      </x:c>
      <x:c r="N15" s="361" t="n">
        <x:v>0</x:v>
      </x:c>
      <x:c r="O15" s="361" t="n">
        <x:v>0</x:v>
      </x:c>
      <x:c r="P15" s="306" t="n">
        <x:v>50</x:v>
      </x:c>
      <x:c r="Q15" s="306" t="n">
        <x:v>0.05</x:v>
      </x:c>
      <x:c r="R15" s="301" t="str">
        <x:v>CAD physical-property report</x:v>
      </x:c>
      <x:c r="S15" s="301" t="str">
        <x:v>physprop__lf_hip_link.txt + weight_breakdown_summary.txt</x:v>
      </x:c>
      <x:c r="T15" s="301" t="str">
        <x:v>CoM available</x:v>
      </x:c>
      <x:c r="U15" s="301" t="str">
        <x:v>Tensor available</x:v>
      </x:c>
      <x:c r="V15" s="301" t="str">
        <x:v>URDF &lt;inertial&gt; inserted</x:v>
      </x:c>
      <x:c r="W15" s="301" t="str">
        <x:v>Simulation-ready · mesh scale=0.001</x:v>
      </x:c>
      <x:c r="X15" s="156" t="str">
        <x:v>0.001 0.001 0.001</x:v>
      </x:c>
      <x:c r="Y15" s="156" t="str">
        <x:v>0.001 0.001 0.001</x:v>
      </x:c>
      <x:c r="Z15" s="156" t="str">
        <x:v>mm</x:v>
      </x:c>
      <x:c r="AA15" s="156" t="str">
        <x:v>m</x:v>
      </x:c>
    </x:row>
    <x:row r="16" ht="19" customHeight="1">
      <x:c r="A16" s="362" t="str">
        <x:v>rh_upper_leg_link</x:v>
      </x:c>
      <x:c r="B16" s="362" t="str">
        <x:v>meshes/rh_upper_leg_link.stl</x:v>
      </x:c>
      <x:c r="C16" s="362" t="str">
        <x:v>meshes/rh_upper_leg_link.stl</x:v>
      </x:c>
      <x:c r="D16" s="363" t="n">
        <x:v>0</x:v>
      </x:c>
      <x:c r="E16" s="363" t="n">
        <x:v>0</x:v>
      </x:c>
      <x:c r="F16" s="363" t="n">
        <x:v>0</x:v>
      </x:c>
      <x:c r="G16" s="364" t="n">
        <x:v>0</x:v>
      </x:c>
      <x:c r="H16" s="364" t="n">
        <x:v>0</x:v>
      </x:c>
      <x:c r="I16" s="364" t="n">
        <x:v>0</x:v>
      </x:c>
      <x:c r="J16" s="363" t="n">
        <x:v>0</x:v>
      </x:c>
      <x:c r="K16" s="363" t="n">
        <x:v>0</x:v>
      </x:c>
      <x:c r="L16" s="363" t="n">
        <x:v>0</x:v>
      </x:c>
      <x:c r="M16" s="364" t="n">
        <x:v>0</x:v>
      </x:c>
      <x:c r="N16" s="364" t="n">
        <x:v>0</x:v>
      </x:c>
      <x:c r="O16" s="364" t="n">
        <x:v>0</x:v>
      </x:c>
      <x:c r="P16" s="306" t="n">
        <x:v>172.5</x:v>
      </x:c>
      <x:c r="Q16" s="306" t="n">
        <x:v>0.1725</x:v>
      </x:c>
      <x:c r="R16" s="301" t="str">
        <x:v>CAD physical-property report</x:v>
      </x:c>
      <x:c r="S16" s="301" t="str">
        <x:v>physprop__lf_upper_leg_link.txt + weight_breakdown_summary.txt</x:v>
      </x:c>
      <x:c r="T16" s="301" t="str">
        <x:v>CoM available</x:v>
      </x:c>
      <x:c r="U16" s="301" t="str">
        <x:v>Tensor available</x:v>
      </x:c>
      <x:c r="V16" s="301" t="str">
        <x:v>URDF &lt;inertial&gt; inserted</x:v>
      </x:c>
      <x:c r="W16" s="301" t="str">
        <x:v>Simulation-ready · mesh scale=0.001</x:v>
      </x:c>
      <x:c r="X16" s="156" t="str">
        <x:v>0.001 0.001 0.001</x:v>
      </x:c>
      <x:c r="Y16" s="156" t="str">
        <x:v>0.001 0.001 0.001</x:v>
      </x:c>
      <x:c r="Z16" s="156" t="str">
        <x:v>mm</x:v>
      </x:c>
      <x:c r="AA16" s="156" t="str">
        <x:v>m</x:v>
      </x:c>
    </x:row>
    <x:row r="17" ht="19" customHeight="1">
      <x:c r="A17" s="359" t="str">
        <x:v>rh_lower_leg_link</x:v>
      </x:c>
      <x:c r="B17" s="359" t="str">
        <x:v>meshes/rh_lower_leg_link.stl</x:v>
      </x:c>
      <x:c r="C17" s="359" t="str">
        <x:v>meshes/rh_lower_leg_link.stl</x:v>
      </x:c>
      <x:c r="D17" s="360" t="n">
        <x:v>0</x:v>
      </x:c>
      <x:c r="E17" s="360" t="n">
        <x:v>0</x:v>
      </x:c>
      <x:c r="F17" s="360" t="n">
        <x:v>0</x:v>
      </x:c>
      <x:c r="G17" s="361" t="n">
        <x:v>0</x:v>
      </x:c>
      <x:c r="H17" s="361" t="n">
        <x:v>0</x:v>
      </x:c>
      <x:c r="I17" s="361" t="n">
        <x:v>0</x:v>
      </x:c>
      <x:c r="J17" s="360" t="n">
        <x:v>0</x:v>
      </x:c>
      <x:c r="K17" s="360" t="n">
        <x:v>0</x:v>
      </x:c>
      <x:c r="L17" s="360" t="n">
        <x:v>0</x:v>
      </x:c>
      <x:c r="M17" s="361" t="n">
        <x:v>0</x:v>
      </x:c>
      <x:c r="N17" s="361" t="n">
        <x:v>0</x:v>
      </x:c>
      <x:c r="O17" s="361" t="n">
        <x:v>0</x:v>
      </x:c>
      <x:c r="P17" s="306" t="n">
        <x:v>59.5</x:v>
      </x:c>
      <x:c r="Q17" s="306" t="n">
        <x:v>0.0595</x:v>
      </x:c>
      <x:c r="R17" s="301" t="str">
        <x:v>CAD physical-property report</x:v>
      </x:c>
      <x:c r="S17" s="301" t="str">
        <x:v>physprop__lf_lower_leg_link.txt + weight_breakdown_summary.txt</x:v>
      </x:c>
      <x:c r="T17" s="301" t="str">
        <x:v>CoM available</x:v>
      </x:c>
      <x:c r="U17" s="301" t="str">
        <x:v>Tensor available</x:v>
      </x:c>
      <x:c r="V17" s="301" t="str">
        <x:v>URDF &lt;inertial&gt; inserted</x:v>
      </x:c>
      <x:c r="W17" s="301" t="str">
        <x:v>Simulation-ready · mesh scale=0.001</x:v>
      </x:c>
      <x:c r="X17" s="156" t="str">
        <x:v>0.001 0.001 0.001</x:v>
      </x:c>
      <x:c r="Y17" s="156" t="str">
        <x:v>0.001 0.001 0.001</x:v>
      </x:c>
      <x:c r="Z17" s="156" t="str">
        <x:v>mm</x:v>
      </x:c>
      <x:c r="AA17" s="156" t="str">
        <x:v>m</x:v>
      </x:c>
    </x:row>
    <x:row r="18" ht="19" customHeight="1">
      <x:c r="A18" s="359" t="str">
        <x:v>rh_foot_link</x:v>
      </x:c>
      <x:c r="B18" s="359" t="str">
        <x:v>meshes/rh_foot_link.stl</x:v>
      </x:c>
      <x:c r="C18" s="359" t="str">
        <x:v>meshes/rh_foot_link.stl</x:v>
      </x:c>
      <x:c r="D18" s="360" t="n">
        <x:v>0</x:v>
      </x:c>
      <x:c r="E18" s="360" t="n">
        <x:v>0</x:v>
      </x:c>
      <x:c r="F18" s="360" t="n">
        <x:v>0</x:v>
      </x:c>
      <x:c r="G18" s="361" t="n">
        <x:v>0</x:v>
      </x:c>
      <x:c r="H18" s="361" t="n">
        <x:v>0</x:v>
      </x:c>
      <x:c r="I18" s="361" t="n">
        <x:v>0</x:v>
      </x:c>
      <x:c r="J18" s="360" t="n">
        <x:v>0</x:v>
      </x:c>
      <x:c r="K18" s="360" t="n">
        <x:v>0</x:v>
      </x:c>
      <x:c r="L18" s="360" t="n">
        <x:v>0</x:v>
      </x:c>
      <x:c r="M18" s="361" t="n">
        <x:v>0</x:v>
      </x:c>
      <x:c r="N18" s="361" t="n">
        <x:v>0</x:v>
      </x:c>
      <x:c r="O18" s="361" t="n">
        <x:v>0</x:v>
      </x:c>
      <x:c r="P18" s="306" t="n">
        <x:v>17.5</x:v>
      </x:c>
      <x:c r="Q18" s="306" t="n">
        <x:v>0.0175</x:v>
      </x:c>
      <x:c r="R18" s="301" t="str">
        <x:v>CAD physical-property report</x:v>
      </x:c>
      <x:c r="S18" s="301" t="str">
        <x:v>physprop__lf_foot_link.txt + weight_breakdown_summary.txt</x:v>
      </x:c>
      <x:c r="T18" s="301" t="str">
        <x:v>CoM available</x:v>
      </x:c>
      <x:c r="U18" s="301" t="str">
        <x:v>Tensor available</x:v>
      </x:c>
      <x:c r="V18" s="301" t="str">
        <x:v>URDF &lt;inertial&gt; inserted</x:v>
      </x:c>
      <x:c r="W18" s="301" t="str">
        <x:v>Simulation-ready · mesh scale=0.001</x:v>
      </x:c>
      <x:c r="X18" s="156" t="str">
        <x:v>0.001 0.001 0.001</x:v>
      </x:c>
      <x:c r="Y18" s="156" t="str">
        <x:v>0.001 0.001 0.001</x:v>
      </x:c>
      <x:c r="Z18" s="156" t="str">
        <x:v>mm</x:v>
      </x:c>
      <x:c r="AA18" s="156" t="str">
        <x:v>m</x:v>
      </x:c>
    </x:row>
    <x:row r="19" ht="19" customHeight="1">
      <x:c r="A19" s="359" t="str">
        <x:v>lh_hip_link</x:v>
      </x:c>
      <x:c r="B19" s="359" t="str">
        <x:v>meshes/lh_hip_link.stl</x:v>
      </x:c>
      <x:c r="C19" s="359" t="str">
        <x:v>meshes/lh_hip_link.stl</x:v>
      </x:c>
      <x:c r="D19" s="360" t="n">
        <x:v>0</x:v>
      </x:c>
      <x:c r="E19" s="360" t="n">
        <x:v>0</x:v>
      </x:c>
      <x:c r="F19" s="360" t="n">
        <x:v>0</x:v>
      </x:c>
      <x:c r="G19" s="361" t="n">
        <x:v>0</x:v>
      </x:c>
      <x:c r="H19" s="361" t="n">
        <x:v>0</x:v>
      </x:c>
      <x:c r="I19" s="361" t="n">
        <x:v>0</x:v>
      </x:c>
      <x:c r="J19" s="360" t="n">
        <x:v>0</x:v>
      </x:c>
      <x:c r="K19" s="360" t="n">
        <x:v>0</x:v>
      </x:c>
      <x:c r="L19" s="360" t="n">
        <x:v>0</x:v>
      </x:c>
      <x:c r="M19" s="361" t="n">
        <x:v>0</x:v>
      </x:c>
      <x:c r="N19" s="361" t="n">
        <x:v>0</x:v>
      </x:c>
      <x:c r="O19" s="361" t="n">
        <x:v>0</x:v>
      </x:c>
      <x:c r="P19" s="306" t="n">
        <x:v>50</x:v>
      </x:c>
      <x:c r="Q19" s="306" t="n">
        <x:v>0.05</x:v>
      </x:c>
      <x:c r="R19" s="301" t="str">
        <x:v>CAD physical-property report</x:v>
      </x:c>
      <x:c r="S19" s="301" t="str">
        <x:v>physprop__lf_hip_link.txt + weight_breakdown_summary.txt</x:v>
      </x:c>
      <x:c r="T19" s="301" t="str">
        <x:v>CoM available</x:v>
      </x:c>
      <x:c r="U19" s="301" t="str">
        <x:v>Tensor available</x:v>
      </x:c>
      <x:c r="V19" s="301" t="str">
        <x:v>URDF &lt;inertial&gt; inserted</x:v>
      </x:c>
      <x:c r="W19" s="301" t="str">
        <x:v>Simulation-ready · mesh scale=0.001</x:v>
      </x:c>
      <x:c r="X19" s="156" t="str">
        <x:v>0.001 0.001 0.001</x:v>
      </x:c>
      <x:c r="Y19" s="156" t="str">
        <x:v>0.001 0.001 0.001</x:v>
      </x:c>
      <x:c r="Z19" s="156" t="str">
        <x:v>mm</x:v>
      </x:c>
      <x:c r="AA19" s="156" t="str">
        <x:v>m</x:v>
      </x:c>
    </x:row>
    <x:row r="20" ht="19" customHeight="1">
      <x:c r="A20" s="362" t="str">
        <x:v>lh_upper_leg_link</x:v>
      </x:c>
      <x:c r="B20" s="362" t="str">
        <x:v>meshes/lh_upper_leg_link.stl</x:v>
      </x:c>
      <x:c r="C20" s="362" t="str">
        <x:v>meshes/lh_upper_leg_link.stl</x:v>
      </x:c>
      <x:c r="D20" s="363" t="n">
        <x:v>0</x:v>
      </x:c>
      <x:c r="E20" s="363" t="n">
        <x:v>0</x:v>
      </x:c>
      <x:c r="F20" s="363" t="n">
        <x:v>0</x:v>
      </x:c>
      <x:c r="G20" s="364" t="n">
        <x:v>0</x:v>
      </x:c>
      <x:c r="H20" s="364" t="n">
        <x:v>0</x:v>
      </x:c>
      <x:c r="I20" s="364" t="n">
        <x:v>0</x:v>
      </x:c>
      <x:c r="J20" s="363" t="n">
        <x:v>0</x:v>
      </x:c>
      <x:c r="K20" s="363" t="n">
        <x:v>0</x:v>
      </x:c>
      <x:c r="L20" s="363" t="n">
        <x:v>0</x:v>
      </x:c>
      <x:c r="M20" s="364" t="n">
        <x:v>0</x:v>
      </x:c>
      <x:c r="N20" s="364" t="n">
        <x:v>0</x:v>
      </x:c>
      <x:c r="O20" s="364" t="n">
        <x:v>0</x:v>
      </x:c>
      <x:c r="P20" s="306" t="n">
        <x:v>172.5</x:v>
      </x:c>
      <x:c r="Q20" s="306" t="n">
        <x:v>0.1725</x:v>
      </x:c>
      <x:c r="R20" s="301" t="str">
        <x:v>CAD physical-property report</x:v>
      </x:c>
      <x:c r="S20" s="301" t="str">
        <x:v>physprop__lf_upper_leg_link.txt + weight_breakdown_summary.txt</x:v>
      </x:c>
      <x:c r="T20" s="301" t="str">
        <x:v>CoM available</x:v>
      </x:c>
      <x:c r="U20" s="301" t="str">
        <x:v>Tensor available</x:v>
      </x:c>
      <x:c r="V20" s="301" t="str">
        <x:v>URDF &lt;inertial&gt; inserted</x:v>
      </x:c>
      <x:c r="W20" s="301" t="str">
        <x:v>Simulation-ready · mesh scale=0.001</x:v>
      </x:c>
      <x:c r="X20" s="156" t="str">
        <x:v>0.001 0.001 0.001</x:v>
      </x:c>
      <x:c r="Y20" s="156" t="str">
        <x:v>0.001 0.001 0.001</x:v>
      </x:c>
      <x:c r="Z20" s="156" t="str">
        <x:v>mm</x:v>
      </x:c>
      <x:c r="AA20" s="156" t="str">
        <x:v>m</x:v>
      </x:c>
    </x:row>
    <x:row r="21" ht="19" customHeight="1">
      <x:c r="A21" s="359" t="str">
        <x:v>lh_lower_leg_link</x:v>
      </x:c>
      <x:c r="B21" s="359" t="str">
        <x:v>meshes/lh_lower_leg_link.stl</x:v>
      </x:c>
      <x:c r="C21" s="359" t="str">
        <x:v>meshes/lh_lower_leg_link.stl</x:v>
      </x:c>
      <x:c r="D21" s="360" t="n">
        <x:v>0</x:v>
      </x:c>
      <x:c r="E21" s="360" t="n">
        <x:v>0</x:v>
      </x:c>
      <x:c r="F21" s="360" t="n">
        <x:v>0</x:v>
      </x:c>
      <x:c r="G21" s="361" t="n">
        <x:v>0</x:v>
      </x:c>
      <x:c r="H21" s="361" t="n">
        <x:v>0</x:v>
      </x:c>
      <x:c r="I21" s="361" t="n">
        <x:v>0</x:v>
      </x:c>
      <x:c r="J21" s="360" t="n">
        <x:v>0</x:v>
      </x:c>
      <x:c r="K21" s="360" t="n">
        <x:v>0</x:v>
      </x:c>
      <x:c r="L21" s="360" t="n">
        <x:v>0</x:v>
      </x:c>
      <x:c r="M21" s="361" t="n">
        <x:v>0</x:v>
      </x:c>
      <x:c r="N21" s="361" t="n">
        <x:v>0</x:v>
      </x:c>
      <x:c r="O21" s="361" t="n">
        <x:v>0</x:v>
      </x:c>
      <x:c r="P21" s="306" t="n">
        <x:v>59.5</x:v>
      </x:c>
      <x:c r="Q21" s="306" t="n">
        <x:v>0.0595</x:v>
      </x:c>
      <x:c r="R21" s="301" t="str">
        <x:v>CAD physical-property report</x:v>
      </x:c>
      <x:c r="S21" s="301" t="str">
        <x:v>physprop__lf_lower_leg_link.txt + weight_breakdown_summary.txt</x:v>
      </x:c>
      <x:c r="T21" s="301" t="str">
        <x:v>CoM available</x:v>
      </x:c>
      <x:c r="U21" s="301" t="str">
        <x:v>Tensor available</x:v>
      </x:c>
      <x:c r="V21" s="301" t="str">
        <x:v>URDF &lt;inertial&gt; inserted</x:v>
      </x:c>
      <x:c r="W21" s="301" t="str">
        <x:v>Simulation-ready · mesh scale=0.001</x:v>
      </x:c>
      <x:c r="X21" s="156" t="str">
        <x:v>0.001 0.001 0.001</x:v>
      </x:c>
      <x:c r="Y21" s="156" t="str">
        <x:v>0.001 0.001 0.001</x:v>
      </x:c>
      <x:c r="Z21" s="156" t="str">
        <x:v>mm</x:v>
      </x:c>
      <x:c r="AA21" s="156" t="str">
        <x:v>m</x:v>
      </x:c>
    </x:row>
    <x:row r="22" ht="19" customHeight="1">
      <x:c r="A22" s="359" t="str">
        <x:v>lh_foot_link</x:v>
      </x:c>
      <x:c r="B22" s="359" t="str">
        <x:v>meshes/lh_foot_link.stl</x:v>
      </x:c>
      <x:c r="C22" s="359" t="str">
        <x:v>meshes/lh_foot_link.stl</x:v>
      </x:c>
      <x:c r="D22" s="360" t="n">
        <x:v>0</x:v>
      </x:c>
      <x:c r="E22" s="360" t="n">
        <x:v>0</x:v>
      </x:c>
      <x:c r="F22" s="360" t="n">
        <x:v>0</x:v>
      </x:c>
      <x:c r="G22" s="361" t="n">
        <x:v>0</x:v>
      </x:c>
      <x:c r="H22" s="361" t="n">
        <x:v>0</x:v>
      </x:c>
      <x:c r="I22" s="361" t="n">
        <x:v>0</x:v>
      </x:c>
      <x:c r="J22" s="360" t="n">
        <x:v>0</x:v>
      </x:c>
      <x:c r="K22" s="360" t="n">
        <x:v>0</x:v>
      </x:c>
      <x:c r="L22" s="360" t="n">
        <x:v>0</x:v>
      </x:c>
      <x:c r="M22" s="361" t="n">
        <x:v>0</x:v>
      </x:c>
      <x:c r="N22" s="361" t="n">
        <x:v>0</x:v>
      </x:c>
      <x:c r="O22" s="361" t="n">
        <x:v>0</x:v>
      </x:c>
      <x:c r="P22" s="306" t="n">
        <x:v>17.5</x:v>
      </x:c>
      <x:c r="Q22" s="306" t="n">
        <x:v>0.0175</x:v>
      </x:c>
      <x:c r="R22" s="301" t="str">
        <x:v>CAD physical-property report</x:v>
      </x:c>
      <x:c r="S22" s="301" t="str">
        <x:v>physprop__lf_foot_link.txt + weight_breakdown_summary.txt</x:v>
      </x:c>
      <x:c r="T22" s="301" t="str">
        <x:v>CoM available</x:v>
      </x:c>
      <x:c r="U22" s="301" t="str">
        <x:v>Tensor available</x:v>
      </x:c>
      <x:c r="V22" s="301" t="str">
        <x:v>URDF &lt;inertial&gt; inserted</x:v>
      </x:c>
      <x:c r="W22" s="301" t="str">
        <x:v>Simulation-ready · mesh scale=0.001</x:v>
      </x:c>
      <x:c r="X22" s="156" t="str">
        <x:v>0.001 0.001 0.001</x:v>
      </x:c>
      <x:c r="Y22" s="156" t="str">
        <x:v>0.001 0.001 0.001</x:v>
      </x:c>
      <x:c r="Z22" s="156" t="str">
        <x:v>mm</x:v>
      </x:c>
      <x:c r="AA22" s="156" t="str">
        <x:v>m</x:v>
      </x:c>
    </x:row>
    <x:row r="24">
      <x:c r="A24" s="179" t="str">
        <x:v>Nota di allocazione: i 4 g di fasteners misurati per ciascuna zampa sono assegnati provvisoriamente all’hip link per preservare il totale reale di 316 g/leg. Questa è una convenzione di massa per link; i baricentri e le inerzie verranno poi sostituiti con proprietà CAD misurate.</x:v>
      </x:c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0"/>
      <x:c r="P24" s="180"/>
      <x:c r="Q24" s="180"/>
      <x:c r="R24" s="180"/>
      <x:c r="S24" s="180"/>
      <x:c r="T24" s="180"/>
      <x:c r="U24" s="180"/>
      <x:c r="V24" s="180"/>
      <x:c r="W24" s="181"/>
    </x:row>
    <x:row r="25">
      <x:c r="A25" s="182"/>
      <x:c r="B25" s="183"/>
      <x:c r="C25" s="183"/>
      <x:c r="D25" s="183"/>
      <x:c r="E25" s="183"/>
      <x:c r="F25" s="183"/>
      <x:c r="G25" s="183"/>
      <x:c r="H25" s="183"/>
      <x:c r="I25" s="183"/>
      <x:c r="J25" s="183"/>
      <x:c r="K25" s="183"/>
      <x:c r="L25" s="183"/>
      <x:c r="M25" s="183"/>
      <x:c r="N25" s="183"/>
      <x:c r="O25" s="183"/>
      <x:c r="P25" s="183"/>
      <x:c r="Q25" s="183"/>
      <x:c r="R25" s="183"/>
      <x:c r="S25" s="183"/>
      <x:c r="T25" s="183"/>
      <x:c r="U25" s="183"/>
      <x:c r="V25" s="183"/>
      <x:c r="W25" s="184"/>
    </x:row>
  </x:sheetData>
  <x:mergeCells>
    <x:mergeCell ref="A1:W1"/>
    <x:mergeCell ref="A2:W2"/>
    <x:mergeCell ref="A24:W25"/>
  </x:mergeCells>
  <x:pageMargins left="0.7" right="0.7" top="0.75" bottom="0.75" header="0.3" footer="0.3"/>
  <x:tableParts count="1">
    <x:tablePart xmlns:r="http://schemas.openxmlformats.org/officeDocument/2006/relationships" r:id="Rdb06a6cc5bb6411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9" hidden="0" customWidth="1"/>
    <x:col min="3" max="3" width="10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MATDOG — Riferimento cinematica REV00</x:v>
      </x:c>
      <x:c r="B1" s="5"/>
      <x:c r="C1" s="5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matt_robodog_rev00.urdf</x:v>
      </x:c>
      <x:c r="C5"/>
    </x:row>
    <x:row r="6">
      <x:c r="A6" s="90" t="str">
        <x:v>Stato</x:v>
      </x:c>
      <x:c r="B6" s="95" t="str">
        <x:v>Baseline cinematica + dinamica + scala mesh approvata</x:v>
      </x:c>
      <x:c r="C6"/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Stessa mesh STL della visuale: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5">
      <x:c r="A15" t="str">
        <x:v>7</x:v>
      </x:c>
      <x:c r="B15" t="str">
        <x:v>Unità mesh STL</x:v>
      </x:c>
      <x:c r="C15" s="156" t="str">
        <x:v>Vertici STL esportati dal CAD in mm. In ogni mesh visual e collision URDF: scale="0.001 0.001 0.001"; joint, CoM e inerzie restano in unità SI.</x:v>
      </x:c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Mesh origins (tutti i link)</x:v>
      </x:c>
      <x:c r="C20" s="115" t="str">
        <x:v>Visual + collision: xyz = 0, 0, 0 m · rpy = 0°, 0°, 0°.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2">
      <x:c r="A22" s="382" t="str">
        <x:v>Proprietà dinamiche REV00</x:v>
      </x:c>
      <x:c r="B22" s="382"/>
      <x:c r="C22" s="382"/>
    </x:row>
    <x:row r="23" ht="20" customHeight="1">
      <x:c r="A23" s="383" t="str">
        <x:v>1</x:v>
      </x:c>
      <x:c r="B23" s="383" t="str">
        <x:v>Masse per link</x:v>
      </x:c>
      <x:c r="C23" s="383" t="str">
        <x:v>Masse CAD riconciliate: totale 17-link = 2.480 kg. Vedi Mass_Reconciliation.</x:v>
      </x:c>
    </x:row>
    <x:row r="24" ht="34" customHeight="1">
      <x:c r="A24" s="384" t="str">
        <x:v>2</x:v>
      </x:c>
      <x:c r="B24" s="301" t="str">
        <x:v>Centro di massa</x:v>
      </x:c>
      <x:c r="C24" s="301" t="str">
        <x:v>CoM per-link importati dal CAD in metri, espressi nel frame locale URDF.</x:v>
      </x:c>
    </x:row>
    <x:row r="25" ht="34" customHeight="1">
      <x:c r="A25" s="384" t="str">
        <x:v>3</x:v>
      </x:c>
      <x:c r="B25" s="301" t="str">
        <x:v>Inerzia</x:v>
      </x:c>
      <x:c r="C25" s="301" t="str">
        <x:v>Tensori al CoM ricostruiti da assi principali + raggi di girazione CAD e inseriti come blocchi &lt;inertial&gt;.</x:v>
      </x:c>
    </x:row>
    <x:row r="26" ht="34" customHeight="1">
      <x:c r="A26" s="384" t="str">
        <x:v>4</x:v>
      </x:c>
      <x:c r="B26" s="301" t="str">
        <x:v>Validazione</x:v>
      </x:c>
      <x:c r="C26" s="301" t="str">
        <x:v>Somma 17 link: massa uguale all’assieme CAD; errore massimo CoM 0.374 mm rispetto al report assembly.</x:v>
      </x:c>
    </x:row>
    <x:row r="27" ht="34" customHeight="1">
      <x:c r="A27" s="384" t="str">
        <x:v>5</x:v>
      </x:c>
      <x:c r="B27" s="301" t="str">
        <x:v>Neck yaw actuator</x:v>
      </x:c>
      <x:c r="C27" s="301" t="str">
        <x:v>Nessun link separato in REV00: non è stato aggiunto senza un report CAD della sua posa montata.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32" hidden="0" customWidth="1"/>
    <x:col min="4" max="4" width="13" hidden="0" customWidth="1"/>
    <x:col min="5" max="5" width="13" hidden="0" customWidth="1"/>
    <x:col min="6" max="6" width="28" hidden="0" customWidth="1"/>
    <x:col min="7" max="7" width="32" hidden="0" customWidth="1"/>
    <x:col min="8" max="8" width="46" hidden="0" customWidth="1"/>
    <x:col min="9" max="9" width="52" hidden="0" customWidth="1"/>
    <x:col min="10" max="10" width="36" hidden="0" customWidth="1"/>
    <x:col min="11" max="11" width="34" hidden="0" customWidth="1"/>
  </x:cols>
  <x:sheetData>
    <x:row r="1" ht="24" customHeight="1">
      <x:c r="A1" s="289" t="str">
        <x:v>MATDOG — Proprietà fisiche per link URDF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</x:row>
    <x:row r="2" ht="36" customHeight="1">
      <x:c r="A2" s="294" t="str">
        <x:v>Masse, CoM e inerzie dinamiche sono ora definite dal CAD. Il foglio Inertial_Properties è la sorgente canonica dei valori URDF; Engineering_Weight_Source resta un confronto storico.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</x:row>
    <x:row r="4">
      <x:c r="A4" s="345" t="str">
        <x:v>Link</x:v>
      </x:c>
      <x:c r="B4" s="345" t="str">
        <x:v>Zone</x:v>
      </x:c>
      <x:c r="C4" s="345" t="str">
        <x:v>URDF mesh</x:v>
      </x:c>
      <x:c r="D4" s="345" t="str">
        <x:v>Mass [g]</x:v>
      </x:c>
      <x:c r="E4" s="345" t="str">
        <x:v>Mass [kg]</x:v>
      </x:c>
      <x:c r="F4" s="345" t="str">
        <x:v>Assembly grouping</x:v>
      </x:c>
      <x:c r="G4" s="345" t="str">
        <x:v>Material composition</x:v>
      </x:c>
      <x:c r="H4" s="345" t="str">
        <x:v>Components from Engineering_Data</x:v>
      </x:c>
      <x:c r="I4" s="345" t="str">
        <x:v>Fastener allocation</x:v>
      </x:c>
      <x:c r="J4" s="345" t="str">
        <x:v>Inertial status</x:v>
      </x:c>
      <x:c r="K4" s="345" t="str">
        <x:v>URDF status</x:v>
      </x:c>
    </x:row>
    <x:row r="5">
      <x:c r="A5" s="328" t="str">
        <x:v>base_link</x:v>
      </x:c>
      <x:c r="B5" s="328" t="str">
        <x:v>Body</x:v>
      </x:c>
      <x:c r="C5" s="328" t="str">
        <x:v>meshes/base_link.stl</x:v>
      </x:c>
      <x:c r="D5" s="329" t="n">
        <x:v>1282</x:v>
      </x:c>
      <x:c r="E5" s="329" t="n">
        <x:v>1.282</x:v>
      </x:c>
      <x:c r="F5" s="328" t="str">
        <x:v>CAD physical-property subassembly</x:v>
      </x:c>
      <x:c r="G5" s="328" t="str">
        <x:v>Mass reconciliation + Solid Edge report</x:v>
      </x:c>
      <x:c r="H5" s="328" t="str">
        <x:v>physprop__base_link.txt + weight_breakdown_summary.txt</x:v>
      </x:c>
      <x:c r="I5" s="328" t="str">
        <x:v>Direct CAD</x:v>
      </x:c>
      <x:c r="J5" s="328" t="str">
        <x:v>CoM + inertia tensor reconstructed at CoM</x:v>
      </x:c>
      <x:c r="K5" s="328" t="str">
        <x:v>Standard URDF &lt;inertial&gt; inserted</x:v>
      </x:c>
    </x:row>
    <x:row r="6">
      <x:c r="A6" s="331" t="str">
        <x:v>lf_hip_link</x:v>
      </x:c>
      <x:c r="B6" s="331" t="str">
        <x:v>LF</x:v>
      </x:c>
      <x:c r="C6" s="331" t="str">
        <x:v>meshes/lf_hip_link.stl</x:v>
      </x:c>
      <x:c r="D6" s="332" t="n">
        <x:v>50</x:v>
      </x:c>
      <x:c r="E6" s="332" t="n">
        <x:v>0.05</x:v>
      </x:c>
      <x:c r="F6" s="331" t="str">
        <x:v>CAD physical-property subassembly</x:v>
      </x:c>
      <x:c r="G6" s="331" t="str">
        <x:v>Mass reconciliation + Solid Edge report</x:v>
      </x:c>
      <x:c r="H6" s="331" t="str">
        <x:v>physprop__lf_hip_link.txt + weight_breakdown_summary.txt</x:v>
      </x:c>
      <x:c r="I6" s="331" t="str">
        <x:v>Direct CAD</x:v>
      </x:c>
      <x:c r="J6" s="331" t="str">
        <x:v>CoM + inertia tensor reconstructed at CoM</x:v>
      </x:c>
      <x:c r="K6" s="331" t="str">
        <x:v>Standard URDF &lt;inertial&gt; inserted</x:v>
      </x:c>
    </x:row>
    <x:row r="7">
      <x:c r="A7" s="334" t="str">
        <x:v>lf_upper_leg_link</x:v>
      </x:c>
      <x:c r="B7" s="334" t="str">
        <x:v>LF</x:v>
      </x:c>
      <x:c r="C7" s="334" t="str">
        <x:v>meshes/lf_upper_leg_link.stl</x:v>
      </x:c>
      <x:c r="D7" s="335" t="n">
        <x:v>172.5</x:v>
      </x:c>
      <x:c r="E7" s="335" t="n">
        <x:v>0.1725</x:v>
      </x:c>
      <x:c r="F7" s="334" t="str">
        <x:v>CAD physical-property subassembly</x:v>
      </x:c>
      <x:c r="G7" s="334" t="str">
        <x:v>Mass reconciliation + Solid Edge report</x:v>
      </x:c>
      <x:c r="H7" s="334" t="str">
        <x:v>physprop__lf_upper_leg_link.txt + weight_breakdown_summary.txt</x:v>
      </x:c>
      <x:c r="I7" s="334" t="str">
        <x:v>Direct CAD</x:v>
      </x:c>
      <x:c r="J7" s="334" t="str">
        <x:v>CoM + inertia tensor reconstructed at CoM</x:v>
      </x:c>
      <x:c r="K7" s="334" t="str">
        <x:v>Standard URDF &lt;inertial&gt; inserted</x:v>
      </x:c>
    </x:row>
    <x:row r="8">
      <x:c r="A8" s="337" t="str">
        <x:v>lf_lower_leg_link</x:v>
      </x:c>
      <x:c r="B8" s="337" t="str">
        <x:v>LF</x:v>
      </x:c>
      <x:c r="C8" s="337" t="str">
        <x:v>meshes/lf_lower_leg_link.stl</x:v>
      </x:c>
      <x:c r="D8" s="338" t="n">
        <x:v>59.5</x:v>
      </x:c>
      <x:c r="E8" s="338" t="n">
        <x:v>0.0595</x:v>
      </x:c>
      <x:c r="F8" s="337" t="str">
        <x:v>CAD physical-property subassembly</x:v>
      </x:c>
      <x:c r="G8" s="337" t="str">
        <x:v>Mass reconciliation + Solid Edge report</x:v>
      </x:c>
      <x:c r="H8" s="337" t="str">
        <x:v>physprop__lf_lower_leg_link.txt + weight_breakdown_summary.txt</x:v>
      </x:c>
      <x:c r="I8" s="337" t="str">
        <x:v>Direct CAD</x:v>
      </x:c>
      <x:c r="J8" s="337" t="str">
        <x:v>CoM + inertia tensor reconstructed at CoM</x:v>
      </x:c>
      <x:c r="K8" s="337" t="str">
        <x:v>Standard URDF &lt;inertial&gt; inserted</x:v>
      </x:c>
    </x:row>
    <x:row r="9">
      <x:c r="A9" s="340" t="str">
        <x:v>lf_foot_link</x:v>
      </x:c>
      <x:c r="B9" s="340" t="str">
        <x:v>LF</x:v>
      </x:c>
      <x:c r="C9" s="340" t="str">
        <x:v>meshes/lf_foot_link.stl</x:v>
      </x:c>
      <x:c r="D9" s="341" t="n">
        <x:v>17.5</x:v>
      </x:c>
      <x:c r="E9" s="341" t="n">
        <x:v>0.0175</x:v>
      </x:c>
      <x:c r="F9" s="340" t="str">
        <x:v>CAD physical-property subassembly</x:v>
      </x:c>
      <x:c r="G9" s="340" t="str">
        <x:v>Mass reconciliation + Solid Edge report</x:v>
      </x:c>
      <x:c r="H9" s="340" t="str">
        <x:v>physprop__lf_foot_link.txt + weight_breakdown_summary.txt</x:v>
      </x:c>
      <x:c r="I9" s="340" t="str">
        <x:v>Direct CAD</x:v>
      </x:c>
      <x:c r="J9" s="340" t="str">
        <x:v>CoM + inertia tensor reconstructed at CoM</x:v>
      </x:c>
      <x:c r="K9" s="340" t="str">
        <x:v>Standard URDF &lt;inertial&gt; inserted</x:v>
      </x:c>
    </x:row>
    <x:row r="10">
      <x:c r="A10" s="331" t="str">
        <x:v>rf_hip_link</x:v>
      </x:c>
      <x:c r="B10" s="331" t="str">
        <x:v>RF</x:v>
      </x:c>
      <x:c r="C10" s="331" t="str">
        <x:v>meshes/rf_hip_link.stl</x:v>
      </x:c>
      <x:c r="D10" s="332" t="n">
        <x:v>50</x:v>
      </x:c>
      <x:c r="E10" s="332" t="n">
        <x:v>0.05</x:v>
      </x:c>
      <x:c r="F10" s="331" t="str">
        <x:v>CAD physical-property subassembly</x:v>
      </x:c>
      <x:c r="G10" s="331" t="str">
        <x:v>Mass reconciliation + Solid Edge report</x:v>
      </x:c>
      <x:c r="H10" s="331" t="str">
        <x:v>physprop__lf_hip_link.txt + weight_breakdown_summary.txt</x:v>
      </x:c>
      <x:c r="I10" s="331" t="str">
        <x:v>LF symmetry-derived</x:v>
      </x:c>
      <x:c r="J10" s="331" t="str">
        <x:v>CoM + inertia tensor reconstructed at CoM</x:v>
      </x:c>
      <x:c r="K10" s="331" t="str">
        <x:v>Standard URDF &lt;inertial&gt; inserted</x:v>
      </x:c>
    </x:row>
    <x:row r="11">
      <x:c r="A11" s="334" t="str">
        <x:v>rf_upper_leg_link</x:v>
      </x:c>
      <x:c r="B11" s="334" t="str">
        <x:v>RF</x:v>
      </x:c>
      <x:c r="C11" s="334" t="str">
        <x:v>meshes/rf_upper_leg_link.stl</x:v>
      </x:c>
      <x:c r="D11" s="335" t="n">
        <x:v>172.5</x:v>
      </x:c>
      <x:c r="E11" s="335" t="n">
        <x:v>0.1725</x:v>
      </x:c>
      <x:c r="F11" s="334" t="str">
        <x:v>CAD physical-property subassembly</x:v>
      </x:c>
      <x:c r="G11" s="334" t="str">
        <x:v>Mass reconciliation + Solid Edge report</x:v>
      </x:c>
      <x:c r="H11" s="334" t="str">
        <x:v>physprop__lf_upper_leg_link.txt + weight_breakdown_summary.txt</x:v>
      </x:c>
      <x:c r="I11" s="334" t="str">
        <x:v>LF symmetry-derived</x:v>
      </x:c>
      <x:c r="J11" s="334" t="str">
        <x:v>CoM + inertia tensor reconstructed at CoM</x:v>
      </x:c>
      <x:c r="K11" s="334" t="str">
        <x:v>Standard URDF &lt;inertial&gt; inserted</x:v>
      </x:c>
    </x:row>
    <x:row r="12">
      <x:c r="A12" s="337" t="str">
        <x:v>rf_lower_leg_link</x:v>
      </x:c>
      <x:c r="B12" s="337" t="str">
        <x:v>RF</x:v>
      </x:c>
      <x:c r="C12" s="337" t="str">
        <x:v>meshes/rf_lower_leg_link.stl</x:v>
      </x:c>
      <x:c r="D12" s="338" t="n">
        <x:v>59.5</x:v>
      </x:c>
      <x:c r="E12" s="338" t="n">
        <x:v>0.0595</x:v>
      </x:c>
      <x:c r="F12" s="337" t="str">
        <x:v>CAD physical-property subassembly</x:v>
      </x:c>
      <x:c r="G12" s="337" t="str">
        <x:v>Mass reconciliation + Solid Edge report</x:v>
      </x:c>
      <x:c r="H12" s="337" t="str">
        <x:v>physprop__lf_lower_leg_link.txt + weight_breakdown_summary.txt</x:v>
      </x:c>
      <x:c r="I12" s="337" t="str">
        <x:v>LF symmetry-derived</x:v>
      </x:c>
      <x:c r="J12" s="337" t="str">
        <x:v>CoM + inertia tensor reconstructed at CoM</x:v>
      </x:c>
      <x:c r="K12" s="337" t="str">
        <x:v>Standard URDF &lt;inertial&gt; inserted</x:v>
      </x:c>
    </x:row>
    <x:row r="13">
      <x:c r="A13" s="340" t="str">
        <x:v>rf_foot_link</x:v>
      </x:c>
      <x:c r="B13" s="340" t="str">
        <x:v>RF</x:v>
      </x:c>
      <x:c r="C13" s="340" t="str">
        <x:v>meshes/rf_foot_link.stl</x:v>
      </x:c>
      <x:c r="D13" s="341" t="n">
        <x:v>17.5</x:v>
      </x:c>
      <x:c r="E13" s="341" t="n">
        <x:v>0.0175</x:v>
      </x:c>
      <x:c r="F13" s="340" t="str">
        <x:v>CAD physical-property subassembly</x:v>
      </x:c>
      <x:c r="G13" s="340" t="str">
        <x:v>Mass reconciliation + Solid Edge report</x:v>
      </x:c>
      <x:c r="H13" s="340" t="str">
        <x:v>physprop__lf_foot_link.txt + weight_breakdown_summary.txt</x:v>
      </x:c>
      <x:c r="I13" s="340" t="str">
        <x:v>LF symmetry-derived</x:v>
      </x:c>
      <x:c r="J13" s="340" t="str">
        <x:v>CoM + inertia tensor reconstructed at CoM</x:v>
      </x:c>
      <x:c r="K13" s="340" t="str">
        <x:v>Standard URDF &lt;inertial&gt; inserted</x:v>
      </x:c>
    </x:row>
    <x:row r="14">
      <x:c r="A14" s="331" t="str">
        <x:v>rh_hip_link</x:v>
      </x:c>
      <x:c r="B14" s="331" t="str">
        <x:v>RH</x:v>
      </x:c>
      <x:c r="C14" s="331" t="str">
        <x:v>meshes/rh_hip_link.stl</x:v>
      </x:c>
      <x:c r="D14" s="332" t="n">
        <x:v>50</x:v>
      </x:c>
      <x:c r="E14" s="332" t="n">
        <x:v>0.05</x:v>
      </x:c>
      <x:c r="F14" s="331" t="str">
        <x:v>CAD physical-property subassembly</x:v>
      </x:c>
      <x:c r="G14" s="331" t="str">
        <x:v>Mass reconciliation + Solid Edge report</x:v>
      </x:c>
      <x:c r="H14" s="331" t="str">
        <x:v>physprop__lf_hip_link.txt + weight_breakdown_summary.txt</x:v>
      </x:c>
      <x:c r="I14" s="331" t="str">
        <x:v>LF symmetry-derived</x:v>
      </x:c>
      <x:c r="J14" s="331" t="str">
        <x:v>CoM + inertia tensor reconstructed at CoM</x:v>
      </x:c>
      <x:c r="K14" s="331" t="str">
        <x:v>Standard URDF &lt;inertial&gt; inserted</x:v>
      </x:c>
    </x:row>
    <x:row r="15">
      <x:c r="A15" s="334" t="str">
        <x:v>rh_upper_leg_link</x:v>
      </x:c>
      <x:c r="B15" s="334" t="str">
        <x:v>RH</x:v>
      </x:c>
      <x:c r="C15" s="334" t="str">
        <x:v>meshes/rh_upper_leg_link.stl</x:v>
      </x:c>
      <x:c r="D15" s="335" t="n">
        <x:v>172.5</x:v>
      </x:c>
      <x:c r="E15" s="335" t="n">
        <x:v>0.1725</x:v>
      </x:c>
      <x:c r="F15" s="334" t="str">
        <x:v>CAD physical-property subassembly</x:v>
      </x:c>
      <x:c r="G15" s="334" t="str">
        <x:v>Mass reconciliation + Solid Edge report</x:v>
      </x:c>
      <x:c r="H15" s="334" t="str">
        <x:v>physprop__lf_upper_leg_link.txt + weight_breakdown_summary.txt</x:v>
      </x:c>
      <x:c r="I15" s="334" t="str">
        <x:v>LF symmetry-derived</x:v>
      </x:c>
      <x:c r="J15" s="334" t="str">
        <x:v>CoM + inertia tensor reconstructed at CoM</x:v>
      </x:c>
      <x:c r="K15" s="334" t="str">
        <x:v>Standard URDF &lt;inertial&gt; inserted</x:v>
      </x:c>
    </x:row>
    <x:row r="16">
      <x:c r="A16" s="337" t="str">
        <x:v>rh_lower_leg_link</x:v>
      </x:c>
      <x:c r="B16" s="337" t="str">
        <x:v>RH</x:v>
      </x:c>
      <x:c r="C16" s="337" t="str">
        <x:v>meshes/rh_lower_leg_link.stl</x:v>
      </x:c>
      <x:c r="D16" s="338" t="n">
        <x:v>59.5</x:v>
      </x:c>
      <x:c r="E16" s="338" t="n">
        <x:v>0.0595</x:v>
      </x:c>
      <x:c r="F16" s="337" t="str">
        <x:v>CAD physical-property subassembly</x:v>
      </x:c>
      <x:c r="G16" s="337" t="str">
        <x:v>Mass reconciliation + Solid Edge report</x:v>
      </x:c>
      <x:c r="H16" s="337" t="str">
        <x:v>physprop__lf_lower_leg_link.txt + weight_breakdown_summary.txt</x:v>
      </x:c>
      <x:c r="I16" s="337" t="str">
        <x:v>LF symmetry-derived</x:v>
      </x:c>
      <x:c r="J16" s="337" t="str">
        <x:v>CoM + inertia tensor reconstructed at CoM</x:v>
      </x:c>
      <x:c r="K16" s="337" t="str">
        <x:v>Standard URDF &lt;inertial&gt; inserted</x:v>
      </x:c>
    </x:row>
    <x:row r="17">
      <x:c r="A17" s="340" t="str">
        <x:v>rh_foot_link</x:v>
      </x:c>
      <x:c r="B17" s="340" t="str">
        <x:v>RH</x:v>
      </x:c>
      <x:c r="C17" s="340" t="str">
        <x:v>meshes/rh_foot_link.stl</x:v>
      </x:c>
      <x:c r="D17" s="341" t="n">
        <x:v>17.5</x:v>
      </x:c>
      <x:c r="E17" s="341" t="n">
        <x:v>0.0175</x:v>
      </x:c>
      <x:c r="F17" s="340" t="str">
        <x:v>CAD physical-property subassembly</x:v>
      </x:c>
      <x:c r="G17" s="340" t="str">
        <x:v>Mass reconciliation + Solid Edge report</x:v>
      </x:c>
      <x:c r="H17" s="340" t="str">
        <x:v>physprop__lf_foot_link.txt + weight_breakdown_summary.txt</x:v>
      </x:c>
      <x:c r="I17" s="340" t="str">
        <x:v>LF symmetry-derived</x:v>
      </x:c>
      <x:c r="J17" s="340" t="str">
        <x:v>CoM + inertia tensor reconstructed at CoM</x:v>
      </x:c>
      <x:c r="K17" s="340" t="str">
        <x:v>Standard URDF &lt;inertial&gt; inserted</x:v>
      </x:c>
    </x:row>
    <x:row r="18">
      <x:c r="A18" s="331" t="str">
        <x:v>lh_hip_link</x:v>
      </x:c>
      <x:c r="B18" s="331" t="str">
        <x:v>LH</x:v>
      </x:c>
      <x:c r="C18" s="331" t="str">
        <x:v>meshes/lh_hip_link.stl</x:v>
      </x:c>
      <x:c r="D18" s="332" t="n">
        <x:v>50</x:v>
      </x:c>
      <x:c r="E18" s="332" t="n">
        <x:v>0.05</x:v>
      </x:c>
      <x:c r="F18" s="331" t="str">
        <x:v>CAD physical-property subassembly</x:v>
      </x:c>
      <x:c r="G18" s="331" t="str">
        <x:v>Mass reconciliation + Solid Edge report</x:v>
      </x:c>
      <x:c r="H18" s="331" t="str">
        <x:v>physprop__lf_hip_link.txt + weight_breakdown_summary.txt</x:v>
      </x:c>
      <x:c r="I18" s="331" t="str">
        <x:v>LF symmetry-derived</x:v>
      </x:c>
      <x:c r="J18" s="331" t="str">
        <x:v>CoM + inertia tensor reconstructed at CoM</x:v>
      </x:c>
      <x:c r="K18" s="331" t="str">
        <x:v>Standard URDF &lt;inertial&gt; inserted</x:v>
      </x:c>
    </x:row>
    <x:row r="19">
      <x:c r="A19" s="334" t="str">
        <x:v>lh_upper_leg_link</x:v>
      </x:c>
      <x:c r="B19" s="334" t="str">
        <x:v>LH</x:v>
      </x:c>
      <x:c r="C19" s="334" t="str">
        <x:v>meshes/lh_upper_leg_link.stl</x:v>
      </x:c>
      <x:c r="D19" s="335" t="n">
        <x:v>172.5</x:v>
      </x:c>
      <x:c r="E19" s="335" t="n">
        <x:v>0.1725</x:v>
      </x:c>
      <x:c r="F19" s="334" t="str">
        <x:v>CAD physical-property subassembly</x:v>
      </x:c>
      <x:c r="G19" s="334" t="str">
        <x:v>Mass reconciliation + Solid Edge report</x:v>
      </x:c>
      <x:c r="H19" s="334" t="str">
        <x:v>physprop__lf_upper_leg_link.txt + weight_breakdown_summary.txt</x:v>
      </x:c>
      <x:c r="I19" s="334" t="str">
        <x:v>LF symmetry-derived</x:v>
      </x:c>
      <x:c r="J19" s="334" t="str">
        <x:v>CoM + inertia tensor reconstructed at CoM</x:v>
      </x:c>
      <x:c r="K19" s="334" t="str">
        <x:v>Standard URDF &lt;inertial&gt; inserted</x:v>
      </x:c>
    </x:row>
    <x:row r="20">
      <x:c r="A20" s="337" t="str">
        <x:v>lh_lower_leg_link</x:v>
      </x:c>
      <x:c r="B20" s="337" t="str">
        <x:v>LH</x:v>
      </x:c>
      <x:c r="C20" s="337" t="str">
        <x:v>meshes/lh_lower_leg_link.stl</x:v>
      </x:c>
      <x:c r="D20" s="338" t="n">
        <x:v>59.5</x:v>
      </x:c>
      <x:c r="E20" s="338" t="n">
        <x:v>0.0595</x:v>
      </x:c>
      <x:c r="F20" s="337" t="str">
        <x:v>CAD physical-property subassembly</x:v>
      </x:c>
      <x:c r="G20" s="337" t="str">
        <x:v>Mass reconciliation + Solid Edge report</x:v>
      </x:c>
      <x:c r="H20" s="337" t="str">
        <x:v>physprop__lf_lower_leg_link.txt + weight_breakdown_summary.txt</x:v>
      </x:c>
      <x:c r="I20" s="337" t="str">
        <x:v>LF symmetry-derived</x:v>
      </x:c>
      <x:c r="J20" s="337" t="str">
        <x:v>CoM + inertia tensor reconstructed at CoM</x:v>
      </x:c>
      <x:c r="K20" s="337" t="str">
        <x:v>Standard URDF &lt;inertial&gt; inserted</x:v>
      </x:c>
    </x:row>
    <x:row r="21">
      <x:c r="A21" s="340" t="str">
        <x:v>lh_foot_link</x:v>
      </x:c>
      <x:c r="B21" s="340" t="str">
        <x:v>LH</x:v>
      </x:c>
      <x:c r="C21" s="340" t="str">
        <x:v>meshes/lh_foot_link.stl</x:v>
      </x:c>
      <x:c r="D21" s="341" t="n">
        <x:v>17.5</x:v>
      </x:c>
      <x:c r="E21" s="341" t="n">
        <x:v>0.0175</x:v>
      </x:c>
      <x:c r="F21" s="340" t="str">
        <x:v>CAD physical-property subassembly</x:v>
      </x:c>
      <x:c r="G21" s="340" t="str">
        <x:v>Mass reconciliation + Solid Edge report</x:v>
      </x:c>
      <x:c r="H21" s="340" t="str">
        <x:v>physprop__lf_foot_link.txt + weight_breakdown_summary.txt</x:v>
      </x:c>
      <x:c r="I21" s="340" t="str">
        <x:v>LF symmetry-derived</x:v>
      </x:c>
      <x:c r="J21" s="340" t="str">
        <x:v>CoM + inertia tensor reconstructed at CoM</x:v>
      </x:c>
      <x:c r="K21" s="340" t="str">
        <x:v>Standard URDF &lt;inertial&gt; inserted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e033e6dd49543d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289" t="str">
        <x:v>MATDOG — Riepilogo masse REV00</x:v>
      </x:c>
      <x:c r="B1" s="289"/>
      <x:c r="C1" s="139"/>
      <x:c r="D1" s="139"/>
      <x:c r="E1" s="139"/>
      <x:c r="F1" s="139"/>
    </x:row>
    <x:row r="2" ht="36" customHeight="1">
      <x:c r="A2" s="294" t="str">
        <x:v>Baseline dinamica CAD: 17 link, 2.480 kg. Il dettaglio della riconciliazione tra CAD, calcolo pesi e misura fisica è nel foglio Mass_Reconciliation.</x:v>
      </x:c>
      <x:c r="B2" s="294"/>
      <x:c r="C2" s="144"/>
      <x:c r="D2" s="144"/>
      <x:c r="E2" s="144"/>
      <x:c r="F2" s="144"/>
    </x:row>
    <x:row r="4">
      <x:c r="A4" s="345" t="str">
        <x:v>Metric</x:v>
      </x:c>
      <x:c r="B4" s="345" t="str">
        <x:v>Value</x:v>
      </x:c>
    </x:row>
    <x:row r="5">
      <x:c r="A5" s="372" t="str">
        <x:v>URDF modeled links mass [g]</x:v>
      </x:c>
      <x:c r="B5" s="306" t="n">
        <x:v>2480</x:v>
      </x:c>
    </x:row>
    <x:row r="6">
      <x:c r="A6" s="372" t="str">
        <x:v>URDF modeled links mass [kg]</x:v>
      </x:c>
      <x:c r="B6" s="306" t="n">
        <x:v>2.48</x:v>
      </x:c>
    </x:row>
    <x:row r="7">
      <x:c r="A7" s="372" t="str">
        <x:v>Four legs mass [g]</x:v>
      </x:c>
      <x:c r="B7" s="306" t="n">
        <x:v>1198</x:v>
      </x:c>
    </x:row>
    <x:row r="8">
      <x:c r="A8" s="372" t="str">
        <x:v>Base link mass [g]</x:v>
      </x:c>
      <x:c r="B8" s="306" t="n">
        <x:v>1282</x:v>
      </x:c>
    </x:row>
    <x:row r="9">
      <x:c r="A9" s="372" t="str">
        <x:v>CAD full assembly [g]</x:v>
      </x:c>
      <x:c r="B9" s="306" t="n">
        <x:v>2480</x:v>
      </x:c>
    </x:row>
    <x:row r="10">
      <x:c r="A10" s="372" t="str">
        <x:v>Weight-breakdown calculated [g]</x:v>
      </x:c>
      <x:c r="B10" s="306" t="n">
        <x:v>2389.4</x:v>
      </x:c>
    </x:row>
    <x:row r="11">
      <x:c r="A11" s="340" t="str">
        <x:v>Physical robot measured [g]</x:v>
      </x:c>
      <x:c r="B11" s="341" t="n">
        <x:v>2297</x:v>
      </x:c>
    </x:row>
    <x:row r="12">
      <x:c r="A12" s="301" t="str">
        <x:v>Neck yaw actuator [g]</x:v>
      </x:c>
      <x:c r="B12" s="306" t="n">
        <x:v>61</x:v>
      </x:c>
    </x:row>
    <x:row r="13">
      <x:c r="A13" s="375" t="str">
        <x:v>Standalone neck yaw link in REV00</x:v>
      </x:c>
      <x:c r="B13" s="375" t="str">
        <x:v>No</x:v>
      </x:c>
      <x:c r="C13" s="180"/>
      <x:c r="D13" s="180"/>
      <x:c r="E13" s="180"/>
      <x:c r="F13" s="181"/>
    </x:row>
    <x:row r="14">
      <x:c r="A14" s="375" t="str">
        <x:v>Dynamic property status</x:v>
      </x:c>
      <x:c r="B14" s="375" t="str">
        <x:v>CAD CoM + inertia tensor inserted</x:v>
      </x:c>
      <x:c r="C14" s="183"/>
      <x:c r="D14" s="183"/>
      <x:c r="E14" s="183"/>
      <x:c r="F14" s="184"/>
    </x:row>
  </x:sheetData>
  <x:mergeCells>
    <x:mergeCell ref="A1:F1"/>
    <x:mergeCell ref="A2:F2"/>
    <x:mergeCell ref="A13:F13"/>
    <x:mergeCell ref="A13:F14"/>
    <x:mergeCell ref="A1:B1"/>
    <x:mergeCell ref="A2:B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30" hidden="0" customWidth="1"/>
    <x:col min="4" max="4" width="10" hidden="0" customWidth="1"/>
    <x:col min="5" max="5" width="18" hidden="0" customWidth="1"/>
    <x:col min="6" max="6" width="16" hidden="0" customWidth="1"/>
    <x:col min="7" max="7" width="8" hidden="0" customWidth="1"/>
    <x:col min="8" max="8" width="12" hidden="0" customWidth="1"/>
    <x:col min="9" max="9" width="18" hidden="0" customWidth="1"/>
    <x:col min="10" max="10" width="42" hidden="0" customWidth="1"/>
  </x:cols>
  <x:sheetData>
    <x:row r="1" ht="24" customHeight="1">
      <x:c r="A1" s="289" t="str">
        <x:v>Engineering_Data.xlsx — Historical weight source / reconciliation input</x:v>
      </x:c>
      <x:c r="B1" s="289"/>
      <x:c r="C1" s="289"/>
      <x:c r="D1" s="289"/>
      <x:c r="E1" s="289"/>
      <x:c r="F1" s="289"/>
      <x:c r="G1" s="289"/>
      <x:c r="H1" s="289"/>
      <x:c r="I1" s="289"/>
      <x:c r="J1" s="289"/>
    </x:row>
    <x:row r="2" ht="42" customHeight="1">
      <x:c r="A2" s="294" t="str">
        <x:v>Historical component allocation retained for traceability. It is not the dynamic source of truth: masses and inertias now come from Solid Edge physical-property exports plus the CAD mass reconciliation in Inertial_Properties and Mass_Reconciliation.</x:v>
      </x:c>
      <x:c r="B2" s="294"/>
      <x:c r="C2" s="294"/>
      <x:c r="D2" s="294"/>
      <x:c r="E2" s="294"/>
      <x:c r="F2" s="294"/>
      <x:c r="G2" s="294"/>
      <x:c r="H2" s="294"/>
      <x:c r="I2" s="294"/>
      <x:c r="J2" s="294"/>
    </x:row>
    <x:row r="4">
      <x:c r="A4" s="157" t="str">
        <x:v>N.</x:v>
      </x:c>
      <x:c r="B4" s="158" t="str">
        <x:v>Subsystem</x:v>
      </x:c>
      <x:c r="C4" s="158" t="str">
        <x:v>Component</x:v>
      </x:c>
      <x:c r="D4" s="158" t="str">
        <x:v>Side</x:v>
      </x:c>
      <x:c r="E4" s="158" t="str">
        <x:v>Material</x:v>
      </x:c>
      <x:c r="F4" s="158" t="str">
        <x:v>Interasse (mm)</x:v>
      </x:c>
      <x:c r="G4" s="158" t="str">
        <x:v>Q.ty</x:v>
      </x:c>
      <x:c r="H4" s="158" t="str">
        <x:v>Weight (g)</x:v>
      </x:c>
      <x:c r="I4" s="158" t="str">
        <x:v>Notes</x:v>
      </x:c>
      <x:c r="J4" s="159" t="str">
        <x:v>URDF link allocation</x:v>
      </x:c>
    </x:row>
    <x:row r="5">
      <x:c r="A5" s="195" t="n">
        <x:v>1</x:v>
      </x:c>
      <x:c r="B5" s="162" t="str">
        <x:v>Actuator / Motor</x:v>
      </x:c>
      <x:c r="C5" s="162" t="str">
        <x:v>ACT_FL_Shoulder_11</x:v>
      </x:c>
      <x:c r="D5" s="162" t="str">
        <x:v>FL</x:v>
      </x:c>
      <x:c r="E5" s="162" t="str">
        <x:v>-</x:v>
      </x:c>
      <x:c r="F5" s="162"/>
      <x:c r="G5" s="162" t="n">
        <x:v>1</x:v>
      </x:c>
      <x:c r="H5" s="196" t="n">
        <x:v>61</x:v>
      </x:c>
      <x:c r="I5" s="162" t="str">
        <x:v>ID_motor:11</x:v>
      </x:c>
      <x:c r="J5" s="163" t="str">
        <x:v>lf_hip_link</x:v>
      </x:c>
    </x:row>
    <x:row r="6">
      <x:c r="A6" s="195" t="n">
        <x:v>2</x:v>
      </x:c>
      <x:c r="B6" s="162" t="str">
        <x:v>Leg</x:v>
      </x:c>
      <x:c r="C6" s="162" t="str">
        <x:v>Shoulder_Joint_L</x:v>
      </x:c>
      <x:c r="D6" s="162" t="str">
        <x:v>FL</x:v>
      </x:c>
      <x:c r="E6" s="162" t="str">
        <x:v>PPA+CF</x:v>
      </x:c>
      <x:c r="F6" s="162"/>
      <x:c r="G6" s="162" t="n">
        <x:v>1</x:v>
      </x:c>
      <x:c r="H6" s="196" t="n">
        <x:v>32</x:v>
      </x:c>
      <x:c r="I6" s="162"/>
      <x:c r="J6" s="163" t="str">
        <x:v>lf_hip_link</x:v>
      </x:c>
    </x:row>
    <x:row r="7">
      <x:c r="A7" s="195" t="n">
        <x:v>3</x:v>
      </x:c>
      <x:c r="B7" s="162" t="str">
        <x:v>Actuator / Motor</x:v>
      </x:c>
      <x:c r="C7" s="162" t="str">
        <x:v>ACT_FL_UpperLeg_12</x:v>
      </x:c>
      <x:c r="D7" s="162" t="str">
        <x:v>FL</x:v>
      </x:c>
      <x:c r="E7" s="162" t="str">
        <x:v>-</x:v>
      </x:c>
      <x:c r="F7" s="162"/>
      <x:c r="G7" s="162" t="n">
        <x:v>1</x:v>
      </x:c>
      <x:c r="H7" s="196" t="n">
        <x:v>61</x:v>
      </x:c>
      <x:c r="I7" s="162" t="str">
        <x:v>ID_motor:12</x:v>
      </x:c>
      <x:c r="J7" s="163" t="str">
        <x:v>lf_upper_leg_link</x:v>
      </x:c>
    </x:row>
    <x:row r="8">
      <x:c r="A8" s="195" t="n">
        <x:v>4</x:v>
      </x:c>
      <x:c r="B8" s="162" t="str">
        <x:v>Leg</x:v>
      </x:c>
      <x:c r="C8" s="162" t="str">
        <x:v>Upper_Leg</x:v>
      </x:c>
      <x:c r="D8" s="162" t="str">
        <x:v>FL</x:v>
      </x:c>
      <x:c r="E8" s="162" t="str">
        <x:v>PPA+CF</x:v>
      </x:c>
      <x:c r="F8" s="162"/>
      <x:c r="G8" s="162" t="n">
        <x:v>1</x:v>
      </x:c>
      <x:c r="H8" s="196" t="n">
        <x:v>32</x:v>
      </x:c>
      <x:c r="I8" s="162"/>
      <x:c r="J8" s="163" t="str">
        <x:v>lf_upper_leg_link</x:v>
      </x:c>
    </x:row>
    <x:row r="9">
      <x:c r="A9" s="195" t="n">
        <x:v>5</x:v>
      </x:c>
      <x:c r="B9" s="162" t="str">
        <x:v>Leg</x:v>
      </x:c>
      <x:c r="C9" s="162" t="str">
        <x:v>Upper_Leg_Cover</x:v>
      </x:c>
      <x:c r="D9" s="162" t="str">
        <x:v>fl</x:v>
      </x:c>
      <x:c r="E9" s="162" t="str">
        <x:v>ABS ESD</x:v>
      </x:c>
      <x:c r="F9" s="162"/>
      <x:c r="G9" s="162" t="n">
        <x:v>1</x:v>
      </x:c>
      <x:c r="H9" s="196" t="n">
        <x:v>5</x:v>
      </x:c>
      <x:c r="I9" s="162"/>
      <x:c r="J9" s="163" t="str">
        <x:v>lf_upper_leg_link</x:v>
      </x:c>
    </x:row>
    <x:row r="10">
      <x:c r="A10" s="195" t="n">
        <x:v>6</x:v>
      </x:c>
      <x:c r="B10" s="162" t="str">
        <x:v>Actuator / Motor</x:v>
      </x:c>
      <x:c r="C10" s="162" t="str">
        <x:v>ACT_FL_LowerLeg_13</x:v>
      </x:c>
      <x:c r="D10" s="162" t="str">
        <x:v>FL</x:v>
      </x:c>
      <x:c r="E10" s="162" t="str">
        <x:v>-</x:v>
      </x:c>
      <x:c r="F10" s="162"/>
      <x:c r="G10" s="162" t="n">
        <x:v>1</x:v>
      </x:c>
      <x:c r="H10" s="196" t="n">
        <x:v>61</x:v>
      </x:c>
      <x:c r="I10" s="162" t="str">
        <x:v>ID_motor:13</x:v>
      </x:c>
      <x:c r="J10" s="163" t="str">
        <x:v>lf_lower_leg_link</x:v>
      </x:c>
    </x:row>
    <x:row r="11">
      <x:c r="A11" s="195" t="n">
        <x:v>7</x:v>
      </x:c>
      <x:c r="B11" s="162" t="str">
        <x:v>Leg</x:v>
      </x:c>
      <x:c r="C11" s="162" t="str">
        <x:v>Lower_Leg_L</x:v>
      </x:c>
      <x:c r="D11" s="162" t="str">
        <x:v>FL</x:v>
      </x:c>
      <x:c r="E11" s="162" t="str">
        <x:v>PPA+CF</x:v>
      </x:c>
      <x:c r="F11" s="162"/>
      <x:c r="G11" s="162" t="n">
        <x:v>1</x:v>
      </x:c>
      <x:c r="H11" s="196" t="n">
        <x:v>53.5</x:v>
      </x:c>
      <x:c r="I11" s="162"/>
      <x:c r="J11" s="163" t="str">
        <x:v>lf_lower_leg_link</x:v>
      </x:c>
    </x:row>
    <x:row r="12">
      <x:c r="A12" s="195" t="n">
        <x:v>8</x:v>
      </x:c>
      <x:c r="B12" s="162" t="str">
        <x:v>Leg</x:v>
      </x:c>
      <x:c r="C12" s="162" t="str">
        <x:v>Rubber_Foot</x:v>
      </x:c>
      <x:c r="D12" s="162" t="str">
        <x:v>FL</x:v>
      </x:c>
      <x:c r="E12" s="162" t="str">
        <x:v>TPU 95A</x:v>
      </x:c>
      <x:c r="F12" s="162"/>
      <x:c r="G12" s="162" t="n">
        <x:v>1</x:v>
      </x:c>
      <x:c r="H12" s="196" t="n">
        <x:v>6.5</x:v>
      </x:c>
      <x:c r="I12" s="162"/>
      <x:c r="J12" s="163" t="str">
        <x:v>lf_foot_link</x:v>
      </x:c>
    </x:row>
    <x:row r="13">
      <x:c r="A13" s="195" t="n">
        <x:v>9</x:v>
      </x:c>
      <x:c r="B13" s="162" t="str">
        <x:v>Fastners</x:v>
      </x:c>
      <x:c r="C13" s="162"/>
      <x:c r="D13" s="162" t="str">
        <x:v>FL</x:v>
      </x:c>
      <x:c r="E13" s="162" t="str">
        <x:v>Steel</x:v>
      </x:c>
      <x:c r="F13" s="162"/>
      <x:c r="G13" s="162" t="n">
        <x:v>1</x:v>
      </x:c>
      <x:c r="H13" s="196" t="n">
        <x:v>4</x:v>
      </x:c>
      <x:c r="I13" s="162"/>
      <x:c r="J13" s="163" t="str">
        <x:v>lf_hip_link</x:v>
      </x:c>
    </x:row>
    <x:row r="14">
      <x:c r="A14" s="195"/>
      <x:c r="B14" s="162"/>
      <x:c r="C14" s="162"/>
      <x:c r="D14" s="162"/>
      <x:c r="E14" s="162"/>
      <x:c r="F14" s="162"/>
      <x:c r="G14" s="162" t="str">
        <x:v>Tot.:</x:v>
      </x:c>
      <x:c r="H14" s="196" t="n">
        <x:v>316</x:v>
      </x:c>
      <x:c r="I14" s="162"/>
      <x:c r="J14" s="163"/>
    </x:row>
    <x:row r="15">
      <x:c r="A15" s="195" t="n">
        <x:v>10</x:v>
      </x:c>
      <x:c r="B15" s="162" t="str">
        <x:v>Actuator / Motor</x:v>
      </x:c>
      <x:c r="C15" s="162" t="str">
        <x:v>ACT_FR_Shoulder_21</x:v>
      </x:c>
      <x:c r="D15" s="162" t="str">
        <x:v>FR</x:v>
      </x:c>
      <x:c r="E15" s="162" t="str">
        <x:v>-</x:v>
      </x:c>
      <x:c r="F15" s="162"/>
      <x:c r="G15" s="162" t="n">
        <x:v>1</x:v>
      </x:c>
      <x:c r="H15" s="196" t="n">
        <x:v>61</x:v>
      </x:c>
      <x:c r="I15" s="162" t="str">
        <x:v>ID_motor:21</x:v>
      </x:c>
      <x:c r="J15" s="163" t="str">
        <x:v>rf_hip_link</x:v>
      </x:c>
    </x:row>
    <x:row r="16">
      <x:c r="A16" s="195" t="n">
        <x:v>11</x:v>
      </x:c>
      <x:c r="B16" s="162" t="str">
        <x:v>Leg</x:v>
      </x:c>
      <x:c r="C16" s="162" t="str">
        <x:v>Shoulder_Joint_R</x:v>
      </x:c>
      <x:c r="D16" s="162" t="str">
        <x:v>FR</x:v>
      </x:c>
      <x:c r="E16" s="162" t="str">
        <x:v>PPA+CF</x:v>
      </x:c>
      <x:c r="F16" s="162"/>
      <x:c r="G16" s="162" t="n">
        <x:v>1</x:v>
      </x:c>
      <x:c r="H16" s="196" t="n">
        <x:v>32</x:v>
      </x:c>
      <x:c r="I16" s="162"/>
      <x:c r="J16" s="163" t="str">
        <x:v>rf_hip_link</x:v>
      </x:c>
    </x:row>
    <x:row r="17">
      <x:c r="A17" s="195" t="n">
        <x:v>12</x:v>
      </x:c>
      <x:c r="B17" s="162" t="str">
        <x:v>Actuator / Motor</x:v>
      </x:c>
      <x:c r="C17" s="162" t="str">
        <x:v>ACT_FR_UpperLeg_22</x:v>
      </x:c>
      <x:c r="D17" s="162" t="str">
        <x:v>FR</x:v>
      </x:c>
      <x:c r="E17" s="162" t="str">
        <x:v>-</x:v>
      </x:c>
      <x:c r="F17" s="162"/>
      <x:c r="G17" s="162" t="n">
        <x:v>1</x:v>
      </x:c>
      <x:c r="H17" s="196" t="n">
        <x:v>61</x:v>
      </x:c>
      <x:c r="I17" s="162" t="str">
        <x:v>ID_motor:22</x:v>
      </x:c>
      <x:c r="J17" s="163" t="str">
        <x:v>rf_upper_leg_link</x:v>
      </x:c>
    </x:row>
    <x:row r="18">
      <x:c r="A18" s="195" t="n">
        <x:v>13</x:v>
      </x:c>
      <x:c r="B18" s="162" t="str">
        <x:v>Leg</x:v>
      </x:c>
      <x:c r="C18" s="162" t="str">
        <x:v>Upper_Leg</x:v>
      </x:c>
      <x:c r="D18" s="162" t="str">
        <x:v>FR</x:v>
      </x:c>
      <x:c r="E18" s="162" t="str">
        <x:v>PPA+CF</x:v>
      </x:c>
      <x:c r="F18" s="162"/>
      <x:c r="G18" s="162" t="n">
        <x:v>1</x:v>
      </x:c>
      <x:c r="H18" s="196" t="n">
        <x:v>32</x:v>
      </x:c>
      <x:c r="I18" s="162"/>
      <x:c r="J18" s="163" t="str">
        <x:v>rf_upper_leg_link</x:v>
      </x:c>
    </x:row>
    <x:row r="19">
      <x:c r="A19" s="195" t="n">
        <x:v>14</x:v>
      </x:c>
      <x:c r="B19" s="162" t="str">
        <x:v>Leg</x:v>
      </x:c>
      <x:c r="C19" s="162" t="str">
        <x:v>Upper_Leg_Cover</x:v>
      </x:c>
      <x:c r="D19" s="162" t="str">
        <x:v>FR</x:v>
      </x:c>
      <x:c r="E19" s="162" t="str">
        <x:v>ABS ESD</x:v>
      </x:c>
      <x:c r="F19" s="162"/>
      <x:c r="G19" s="162" t="n">
        <x:v>1</x:v>
      </x:c>
      <x:c r="H19" s="196" t="n">
        <x:v>5</x:v>
      </x:c>
      <x:c r="I19" s="162"/>
      <x:c r="J19" s="163" t="str">
        <x:v>rf_upper_leg_link</x:v>
      </x:c>
    </x:row>
    <x:row r="20">
      <x:c r="A20" s="195" t="n">
        <x:v>15</x:v>
      </x:c>
      <x:c r="B20" s="162" t="str">
        <x:v>Actuator / Motor</x:v>
      </x:c>
      <x:c r="C20" s="162" t="str">
        <x:v>ACT_FR_LowerLeg_23</x:v>
      </x:c>
      <x:c r="D20" s="162" t="str">
        <x:v>FR</x:v>
      </x:c>
      <x:c r="E20" s="162" t="str">
        <x:v>-</x:v>
      </x:c>
      <x:c r="F20" s="162"/>
      <x:c r="G20" s="162" t="n">
        <x:v>1</x:v>
      </x:c>
      <x:c r="H20" s="196" t="n">
        <x:v>61</x:v>
      </x:c>
      <x:c r="I20" s="162" t="str">
        <x:v>ID_motor:23</x:v>
      </x:c>
      <x:c r="J20" s="163" t="str">
        <x:v>rf_lower_leg_link</x:v>
      </x:c>
    </x:row>
    <x:row r="21">
      <x:c r="A21" s="195" t="n">
        <x:v>16</x:v>
      </x:c>
      <x:c r="B21" s="162" t="str">
        <x:v>Leg</x:v>
      </x:c>
      <x:c r="C21" s="162" t="str">
        <x:v>Lower_Leg_R</x:v>
      </x:c>
      <x:c r="D21" s="162" t="str">
        <x:v>FR</x:v>
      </x:c>
      <x:c r="E21" s="162" t="str">
        <x:v>PPA+CF</x:v>
      </x:c>
      <x:c r="F21" s="162"/>
      <x:c r="G21" s="162" t="n">
        <x:v>1</x:v>
      </x:c>
      <x:c r="H21" s="196" t="n">
        <x:v>53.5</x:v>
      </x:c>
      <x:c r="I21" s="162"/>
      <x:c r="J21" s="163" t="str">
        <x:v>rf_lower_leg_link</x:v>
      </x:c>
    </x:row>
    <x:row r="22">
      <x:c r="A22" s="195" t="n">
        <x:v>17</x:v>
      </x:c>
      <x:c r="B22" s="162" t="str">
        <x:v>Leg</x:v>
      </x:c>
      <x:c r="C22" s="162" t="str">
        <x:v>Rubber_Foot</x:v>
      </x:c>
      <x:c r="D22" s="162" t="str">
        <x:v>FR</x:v>
      </x:c>
      <x:c r="E22" s="162" t="str">
        <x:v>TPU 95A</x:v>
      </x:c>
      <x:c r="F22" s="162"/>
      <x:c r="G22" s="162" t="n">
        <x:v>1</x:v>
      </x:c>
      <x:c r="H22" s="196" t="n">
        <x:v>6.5</x:v>
      </x:c>
      <x:c r="I22" s="162"/>
      <x:c r="J22" s="163" t="str">
        <x:v>rf_foot_link</x:v>
      </x:c>
    </x:row>
    <x:row r="23">
      <x:c r="A23" s="195" t="n">
        <x:v>18</x:v>
      </x:c>
      <x:c r="B23" s="162" t="str">
        <x:v>Fastners</x:v>
      </x:c>
      <x:c r="C23" s="162"/>
      <x:c r="D23" s="162" t="str">
        <x:v>FR</x:v>
      </x:c>
      <x:c r="E23" s="162" t="str">
        <x:v>Steel</x:v>
      </x:c>
      <x:c r="F23" s="162"/>
      <x:c r="G23" s="162" t="n">
        <x:v>1</x:v>
      </x:c>
      <x:c r="H23" s="196" t="n">
        <x:v>4</x:v>
      </x:c>
      <x:c r="I23" s="162"/>
      <x:c r="J23" s="163" t="str">
        <x:v>rf_hip_link</x:v>
      </x:c>
    </x:row>
    <x:row r="24">
      <x:c r="A24" s="195"/>
      <x:c r="B24" s="162"/>
      <x:c r="C24" s="162"/>
      <x:c r="D24" s="162"/>
      <x:c r="E24" s="162"/>
      <x:c r="F24" s="162"/>
      <x:c r="G24" s="162" t="str">
        <x:v>Tot.:</x:v>
      </x:c>
      <x:c r="H24" s="196" t="n">
        <x:v>316</x:v>
      </x:c>
      <x:c r="I24" s="162"/>
      <x:c r="J24" s="163"/>
    </x:row>
    <x:row r="25">
      <x:c r="A25" s="195" t="n">
        <x:v>19</x:v>
      </x:c>
      <x:c r="B25" s="162" t="str">
        <x:v>Actuator / Motor</x:v>
      </x:c>
      <x:c r="C25" s="162" t="str">
        <x:v>ACT_RR_Shoulder_31</x:v>
      </x:c>
      <x:c r="D25" s="162" t="str">
        <x:v>RR</x:v>
      </x:c>
      <x:c r="E25" s="162" t="str">
        <x:v>-</x:v>
      </x:c>
      <x:c r="F25" s="162"/>
      <x:c r="G25" s="162" t="n">
        <x:v>1</x:v>
      </x:c>
      <x:c r="H25" s="196" t="n">
        <x:v>61</x:v>
      </x:c>
      <x:c r="I25" s="162" t="str">
        <x:v>ID_motor:31</x:v>
      </x:c>
      <x:c r="J25" s="163" t="str">
        <x:v>rh_hip_link</x:v>
      </x:c>
    </x:row>
    <x:row r="26">
      <x:c r="A26" s="195" t="n">
        <x:v>20</x:v>
      </x:c>
      <x:c r="B26" s="162" t="str">
        <x:v>Leg</x:v>
      </x:c>
      <x:c r="C26" s="162" t="str">
        <x:v>Shoulder_Joint_R</x:v>
      </x:c>
      <x:c r="D26" s="162" t="str">
        <x:v>RR</x:v>
      </x:c>
      <x:c r="E26" s="162" t="str">
        <x:v>PPA+CF</x:v>
      </x:c>
      <x:c r="F26" s="162"/>
      <x:c r="G26" s="162" t="n">
        <x:v>1</x:v>
      </x:c>
      <x:c r="H26" s="196" t="n">
        <x:v>32</x:v>
      </x:c>
      <x:c r="I26" s="162"/>
      <x:c r="J26" s="163" t="str">
        <x:v>rh_hip_link</x:v>
      </x:c>
    </x:row>
    <x:row r="27">
      <x:c r="A27" s="195" t="n">
        <x:v>21</x:v>
      </x:c>
      <x:c r="B27" s="162" t="str">
        <x:v>Actuator / Motor</x:v>
      </x:c>
      <x:c r="C27" s="162" t="str">
        <x:v>ACT_RR_UpperLeg_32</x:v>
      </x:c>
      <x:c r="D27" s="162" t="str">
        <x:v>RR</x:v>
      </x:c>
      <x:c r="E27" s="162" t="str">
        <x:v>-</x:v>
      </x:c>
      <x:c r="F27" s="162"/>
      <x:c r="G27" s="162" t="n">
        <x:v>1</x:v>
      </x:c>
      <x:c r="H27" s="196" t="n">
        <x:v>61</x:v>
      </x:c>
      <x:c r="I27" s="162" t="str">
        <x:v>ID_motor:32</x:v>
      </x:c>
      <x:c r="J27" s="163" t="str">
        <x:v>rh_upper_leg_link</x:v>
      </x:c>
    </x:row>
    <x:row r="28">
      <x:c r="A28" s="195" t="n">
        <x:v>22</x:v>
      </x:c>
      <x:c r="B28" s="162" t="str">
        <x:v>Leg</x:v>
      </x:c>
      <x:c r="C28" s="162" t="str">
        <x:v>Upper_Leg</x:v>
      </x:c>
      <x:c r="D28" s="162" t="str">
        <x:v>RR</x:v>
      </x:c>
      <x:c r="E28" s="162" t="str">
        <x:v>PPA+CF</x:v>
      </x:c>
      <x:c r="F28" s="162"/>
      <x:c r="G28" s="162" t="n">
        <x:v>1</x:v>
      </x:c>
      <x:c r="H28" s="196" t="n">
        <x:v>32</x:v>
      </x:c>
      <x:c r="I28" s="162"/>
      <x:c r="J28" s="163" t="str">
        <x:v>rh_upper_leg_link</x:v>
      </x:c>
    </x:row>
    <x:row r="29">
      <x:c r="A29" s="195" t="n">
        <x:v>23</x:v>
      </x:c>
      <x:c r="B29" s="162" t="str">
        <x:v>Leg</x:v>
      </x:c>
      <x:c r="C29" s="162" t="str">
        <x:v>Upper_Leg_Cover</x:v>
      </x:c>
      <x:c r="D29" s="162" t="str">
        <x:v>RR</x:v>
      </x:c>
      <x:c r="E29" s="162" t="str">
        <x:v>ABS ESD</x:v>
      </x:c>
      <x:c r="F29" s="162"/>
      <x:c r="G29" s="162" t="n">
        <x:v>1</x:v>
      </x:c>
      <x:c r="H29" s="196" t="n">
        <x:v>5</x:v>
      </x:c>
      <x:c r="I29" s="162"/>
      <x:c r="J29" s="163" t="str">
        <x:v>rh_upper_leg_link</x:v>
      </x:c>
    </x:row>
    <x:row r="30">
      <x:c r="A30" s="195" t="n">
        <x:v>24</x:v>
      </x:c>
      <x:c r="B30" s="162" t="str">
        <x:v>Actuator / Motor</x:v>
      </x:c>
      <x:c r="C30" s="162" t="str">
        <x:v>ACT_FR_LowerLeg_33</x:v>
      </x:c>
      <x:c r="D30" s="162" t="str">
        <x:v>RR</x:v>
      </x:c>
      <x:c r="E30" s="162" t="str">
        <x:v>-</x:v>
      </x:c>
      <x:c r="F30" s="162"/>
      <x:c r="G30" s="162" t="n">
        <x:v>1</x:v>
      </x:c>
      <x:c r="H30" s="196" t="n">
        <x:v>61</x:v>
      </x:c>
      <x:c r="I30" s="162" t="str">
        <x:v>ID_motor:33</x:v>
      </x:c>
      <x:c r="J30" s="163" t="str">
        <x:v>rh_lower_leg_link</x:v>
      </x:c>
    </x:row>
    <x:row r="31">
      <x:c r="A31" s="195" t="n">
        <x:v>25</x:v>
      </x:c>
      <x:c r="B31" s="162" t="str">
        <x:v>Leg</x:v>
      </x:c>
      <x:c r="C31" s="162" t="str">
        <x:v>Lower_Leg_R</x:v>
      </x:c>
      <x:c r="D31" s="162" t="str">
        <x:v>RR</x:v>
      </x:c>
      <x:c r="E31" s="162" t="str">
        <x:v>PPA+CF</x:v>
      </x:c>
      <x:c r="F31" s="162"/>
      <x:c r="G31" s="162" t="n">
        <x:v>1</x:v>
      </x:c>
      <x:c r="H31" s="196" t="n">
        <x:v>53.5</x:v>
      </x:c>
      <x:c r="I31" s="162"/>
      <x:c r="J31" s="163" t="str">
        <x:v>rh_lower_leg_link</x:v>
      </x:c>
    </x:row>
    <x:row r="32">
      <x:c r="A32" s="195" t="n">
        <x:v>26</x:v>
      </x:c>
      <x:c r="B32" s="162" t="str">
        <x:v>Leg</x:v>
      </x:c>
      <x:c r="C32" s="162" t="str">
        <x:v>Rubber_Foot</x:v>
      </x:c>
      <x:c r="D32" s="162" t="str">
        <x:v>RR</x:v>
      </x:c>
      <x:c r="E32" s="162" t="str">
        <x:v>TPU 95A</x:v>
      </x:c>
      <x:c r="F32" s="162"/>
      <x:c r="G32" s="162" t="n">
        <x:v>1</x:v>
      </x:c>
      <x:c r="H32" s="196" t="n">
        <x:v>6.5</x:v>
      </x:c>
      <x:c r="I32" s="162"/>
      <x:c r="J32" s="163" t="str">
        <x:v>rh_foot_link</x:v>
      </x:c>
    </x:row>
    <x:row r="33">
      <x:c r="A33" s="195" t="n">
        <x:v>27</x:v>
      </x:c>
      <x:c r="B33" s="162" t="str">
        <x:v>Fastners</x:v>
      </x:c>
      <x:c r="C33" s="162"/>
      <x:c r="D33" s="162" t="str">
        <x:v>RR</x:v>
      </x:c>
      <x:c r="E33" s="162" t="str">
        <x:v>Steel</x:v>
      </x:c>
      <x:c r="F33" s="162"/>
      <x:c r="G33" s="162" t="n">
        <x:v>1</x:v>
      </x:c>
      <x:c r="H33" s="196" t="n">
        <x:v>4</x:v>
      </x:c>
      <x:c r="I33" s="162"/>
      <x:c r="J33" s="163" t="str">
        <x:v>rh_hip_link</x:v>
      </x:c>
    </x:row>
    <x:row r="34">
      <x:c r="A34" s="195"/>
      <x:c r="B34" s="162"/>
      <x:c r="C34" s="162"/>
      <x:c r="D34" s="162"/>
      <x:c r="E34" s="162"/>
      <x:c r="F34" s="162"/>
      <x:c r="G34" s="162" t="str">
        <x:v>Tot.:</x:v>
      </x:c>
      <x:c r="H34" s="196" t="n">
        <x:v>316</x:v>
      </x:c>
      <x:c r="I34" s="162"/>
      <x:c r="J34" s="163"/>
    </x:row>
    <x:row r="35">
      <x:c r="A35" s="195" t="n">
        <x:v>28</x:v>
      </x:c>
      <x:c r="B35" s="162" t="str">
        <x:v>Actuator / Motor</x:v>
      </x:c>
      <x:c r="C35" s="162" t="str">
        <x:v>ACT_RL_Shoulder_41</x:v>
      </x:c>
      <x:c r="D35" s="162" t="str">
        <x:v>RL</x:v>
      </x:c>
      <x:c r="E35" s="162" t="str">
        <x:v>-</x:v>
      </x:c>
      <x:c r="F35" s="162"/>
      <x:c r="G35" s="162" t="n">
        <x:v>1</x:v>
      </x:c>
      <x:c r="H35" s="196" t="n">
        <x:v>61</x:v>
      </x:c>
      <x:c r="I35" s="162" t="str">
        <x:v>ID_motor:41</x:v>
      </x:c>
      <x:c r="J35" s="163" t="str">
        <x:v>lh_hip_link</x:v>
      </x:c>
    </x:row>
    <x:row r="36">
      <x:c r="A36" s="195" t="n">
        <x:v>29</x:v>
      </x:c>
      <x:c r="B36" s="162" t="str">
        <x:v>Leg</x:v>
      </x:c>
      <x:c r="C36" s="162" t="str">
        <x:v>Shoulder_Joint_L</x:v>
      </x:c>
      <x:c r="D36" s="162" t="str">
        <x:v>RL</x:v>
      </x:c>
      <x:c r="E36" s="162" t="str">
        <x:v>PPA+CF</x:v>
      </x:c>
      <x:c r="F36" s="162"/>
      <x:c r="G36" s="162" t="n">
        <x:v>1</x:v>
      </x:c>
      <x:c r="H36" s="196" t="n">
        <x:v>32</x:v>
      </x:c>
      <x:c r="I36" s="162"/>
      <x:c r="J36" s="163" t="str">
        <x:v>lh_hip_link</x:v>
      </x:c>
    </x:row>
    <x:row r="37">
      <x:c r="A37" s="195" t="n">
        <x:v>30</x:v>
      </x:c>
      <x:c r="B37" s="162" t="str">
        <x:v>Actuator / Motor</x:v>
      </x:c>
      <x:c r="C37" s="162" t="str">
        <x:v>ACT_RL_UpperLeg_42</x:v>
      </x:c>
      <x:c r="D37" s="162" t="str">
        <x:v>RL</x:v>
      </x:c>
      <x:c r="E37" s="162" t="str">
        <x:v>-</x:v>
      </x:c>
      <x:c r="F37" s="162"/>
      <x:c r="G37" s="162" t="n">
        <x:v>1</x:v>
      </x:c>
      <x:c r="H37" s="196" t="n">
        <x:v>61</x:v>
      </x:c>
      <x:c r="I37" s="162" t="str">
        <x:v>ID_motor:42</x:v>
      </x:c>
      <x:c r="J37" s="163" t="str">
        <x:v>lh_upper_leg_link</x:v>
      </x:c>
    </x:row>
    <x:row r="38">
      <x:c r="A38" s="195" t="n">
        <x:v>31</x:v>
      </x:c>
      <x:c r="B38" s="162" t="str">
        <x:v>Leg</x:v>
      </x:c>
      <x:c r="C38" s="162" t="str">
        <x:v>Upper_Leg</x:v>
      </x:c>
      <x:c r="D38" s="162" t="str">
        <x:v>RL</x:v>
      </x:c>
      <x:c r="E38" s="162" t="str">
        <x:v>PPA+CF</x:v>
      </x:c>
      <x:c r="F38" s="162"/>
      <x:c r="G38" s="162" t="n">
        <x:v>1</x:v>
      </x:c>
      <x:c r="H38" s="196" t="n">
        <x:v>32</x:v>
      </x:c>
      <x:c r="I38" s="162"/>
      <x:c r="J38" s="163" t="str">
        <x:v>lh_upper_leg_link</x:v>
      </x:c>
    </x:row>
    <x:row r="39">
      <x:c r="A39" s="195" t="n">
        <x:v>32</x:v>
      </x:c>
      <x:c r="B39" s="162" t="str">
        <x:v>Leg</x:v>
      </x:c>
      <x:c r="C39" s="162" t="str">
        <x:v>Upper_Leg_Cover</x:v>
      </x:c>
      <x:c r="D39" s="162" t="str">
        <x:v>RL</x:v>
      </x:c>
      <x:c r="E39" s="162" t="str">
        <x:v>ABS ESD</x:v>
      </x:c>
      <x:c r="F39" s="162"/>
      <x:c r="G39" s="162" t="n">
        <x:v>1</x:v>
      </x:c>
      <x:c r="H39" s="196" t="n">
        <x:v>5</x:v>
      </x:c>
      <x:c r="I39" s="162"/>
      <x:c r="J39" s="163" t="str">
        <x:v>lh_upper_leg_link</x:v>
      </x:c>
    </x:row>
    <x:row r="40">
      <x:c r="A40" s="195" t="n">
        <x:v>33</x:v>
      </x:c>
      <x:c r="B40" s="162" t="str">
        <x:v>Actuator / Motor</x:v>
      </x:c>
      <x:c r="C40" s="162" t="str">
        <x:v>ACT_RL_LowerLeg_43</x:v>
      </x:c>
      <x:c r="D40" s="162" t="str">
        <x:v>RL</x:v>
      </x:c>
      <x:c r="E40" s="162" t="str">
        <x:v>-</x:v>
      </x:c>
      <x:c r="F40" s="162"/>
      <x:c r="G40" s="162" t="n">
        <x:v>1</x:v>
      </x:c>
      <x:c r="H40" s="196" t="n">
        <x:v>61</x:v>
      </x:c>
      <x:c r="I40" s="162" t="str">
        <x:v>ID_motor:43</x:v>
      </x:c>
      <x:c r="J40" s="163" t="str">
        <x:v>lh_lower_leg_link</x:v>
      </x:c>
    </x:row>
    <x:row r="41">
      <x:c r="A41" s="195" t="n">
        <x:v>34</x:v>
      </x:c>
      <x:c r="B41" s="162" t="str">
        <x:v>Leg</x:v>
      </x:c>
      <x:c r="C41" s="162" t="str">
        <x:v>Lower_Leg_L</x:v>
      </x:c>
      <x:c r="D41" s="162" t="str">
        <x:v>RL</x:v>
      </x:c>
      <x:c r="E41" s="162" t="str">
        <x:v>PPA+CF</x:v>
      </x:c>
      <x:c r="F41" s="162"/>
      <x:c r="G41" s="162" t="n">
        <x:v>1</x:v>
      </x:c>
      <x:c r="H41" s="196" t="n">
        <x:v>53.5</x:v>
      </x:c>
      <x:c r="I41" s="162"/>
      <x:c r="J41" s="163" t="str">
        <x:v>lh_lower_leg_link</x:v>
      </x:c>
    </x:row>
    <x:row r="42">
      <x:c r="A42" s="195" t="n">
        <x:v>35</x:v>
      </x:c>
      <x:c r="B42" s="162" t="str">
        <x:v>Leg</x:v>
      </x:c>
      <x:c r="C42" s="162" t="str">
        <x:v>Rubber_Foot</x:v>
      </x:c>
      <x:c r="D42" s="162" t="str">
        <x:v>RL</x:v>
      </x:c>
      <x:c r="E42" s="162" t="str">
        <x:v>TPU 95A</x:v>
      </x:c>
      <x:c r="F42" s="162"/>
      <x:c r="G42" s="162" t="n">
        <x:v>1</x:v>
      </x:c>
      <x:c r="H42" s="196" t="n">
        <x:v>6.5</x:v>
      </x:c>
      <x:c r="I42" s="162"/>
      <x:c r="J42" s="163" t="str">
        <x:v>lh_foot_link</x:v>
      </x:c>
    </x:row>
    <x:row r="43">
      <x:c r="A43" s="195" t="n">
        <x:v>36</x:v>
      </x:c>
      <x:c r="B43" s="162" t="str">
        <x:v>Fastners</x:v>
      </x:c>
      <x:c r="C43" s="162"/>
      <x:c r="D43" s="162" t="str">
        <x:v>RL</x:v>
      </x:c>
      <x:c r="E43" s="162" t="str">
        <x:v>Steel</x:v>
      </x:c>
      <x:c r="F43" s="162"/>
      <x:c r="G43" s="162" t="n">
        <x:v>1</x:v>
      </x:c>
      <x:c r="H43" s="196" t="n">
        <x:v>4</x:v>
      </x:c>
      <x:c r="I43" s="162"/>
      <x:c r="J43" s="163" t="str">
        <x:v>lh_hip_link</x:v>
      </x:c>
    </x:row>
    <x:row r="44">
      <x:c r="A44" s="195"/>
      <x:c r="B44" s="162"/>
      <x:c r="C44" s="162"/>
      <x:c r="D44" s="162"/>
      <x:c r="E44" s="162"/>
      <x:c r="F44" s="162"/>
      <x:c r="G44" s="162" t="str">
        <x:v>Tot.:</x:v>
      </x:c>
      <x:c r="H44" s="196" t="n">
        <x:v>316</x:v>
      </x:c>
      <x:c r="I44" s="162"/>
      <x:c r="J44" s="163"/>
    </x:row>
    <x:row r="45">
      <x:c r="A45" s="195" t="n">
        <x:v>37</x:v>
      </x:c>
      <x:c r="B45" s="162" t="str">
        <x:v>Chassis / Body</x:v>
      </x:c>
      <x:c r="C45" s="162" t="str">
        <x:v>Lower_Chassis</x:v>
      </x:c>
      <x:c r="D45" s="162" t="str">
        <x:v>-</x:v>
      </x:c>
      <x:c r="E45" s="162" t="str">
        <x:v>PPA+CF</x:v>
      </x:c>
      <x:c r="F45" s="162"/>
      <x:c r="G45" s="162" t="n">
        <x:v>1</x:v>
      </x:c>
      <x:c r="H45" s="196" t="n">
        <x:v>283</x:v>
      </x:c>
      <x:c r="I45" s="162"/>
      <x:c r="J45" s="163" t="str">
        <x:v>base_link</x:v>
      </x:c>
    </x:row>
    <x:row r="46">
      <x:c r="A46" s="195" t="n">
        <x:v>38</x:v>
      </x:c>
      <x:c r="B46" s="162" t="str">
        <x:v>Fastners</x:v>
      </x:c>
      <x:c r="C46" s="162"/>
      <x:c r="D46" s="162"/>
      <x:c r="E46" s="162" t="str">
        <x:v>Steel</x:v>
      </x:c>
      <x:c r="F46" s="162"/>
      <x:c r="G46" s="162" t="n">
        <x:v>1</x:v>
      </x:c>
      <x:c r="H46" s="196" t="n">
        <x:v>2</x:v>
      </x:c>
      <x:c r="I46" s="162"/>
      <x:c r="J46" s="163" t="str">
        <x:v>base_link</x:v>
      </x:c>
    </x:row>
    <x:row r="47">
      <x:c r="A47" s="195" t="n">
        <x:v>39</x:v>
      </x:c>
      <x:c r="B47" s="162" t="str">
        <x:v>Actuator / Motor</x:v>
      </x:c>
      <x:c r="C47" s="162" t="str">
        <x:v>ACT_HD_Base_Yaw_51</x:v>
      </x:c>
      <x:c r="D47" s="162" t="str">
        <x:v>CN</x:v>
      </x:c>
      <x:c r="E47" s="162" t="str">
        <x:v>-</x:v>
      </x:c>
      <x:c r="F47" s="162"/>
      <x:c r="G47" s="162" t="n">
        <x:v>1</x:v>
      </x:c>
      <x:c r="H47" s="196" t="n">
        <x:v>61</x:v>
      </x:c>
      <x:c r="I47" s="162" t="str">
        <x:v>ID_motor:41</x:v>
      </x:c>
      <x:c r="J47" s="163" t="str">
        <x:v>Not in REV00 URDF (future neck/head link)</x:v>
      </x:c>
    </x:row>
    <x:row r="48">
      <x:c r="A48" s="195"/>
      <x:c r="B48" s="162"/>
      <x:c r="C48" s="162"/>
      <x:c r="D48" s="162"/>
      <x:c r="E48" s="162"/>
      <x:c r="F48" s="162"/>
      <x:c r="G48" s="162"/>
      <x:c r="H48" s="196"/>
      <x:c r="I48" s="162"/>
      <x:c r="J48" s="163"/>
    </x:row>
    <x:row r="49">
      <x:c r="A49" s="195"/>
      <x:c r="B49" s="162"/>
      <x:c r="C49" s="162"/>
      <x:c r="D49" s="162"/>
      <x:c r="E49" s="162"/>
      <x:c r="F49" s="162"/>
      <x:c r="G49" s="162"/>
      <x:c r="H49" s="196"/>
      <x:c r="I49" s="162"/>
      <x:c r="J49" s="163"/>
    </x:row>
    <x:row r="50">
      <x:c r="A50" s="195"/>
      <x:c r="B50" s="162"/>
      <x:c r="C50" s="162"/>
      <x:c r="D50" s="162"/>
      <x:c r="E50" s="162"/>
      <x:c r="F50" s="162"/>
      <x:c r="G50" s="162"/>
      <x:c r="H50" s="196"/>
      <x:c r="I50" s="162"/>
      <x:c r="J50" s="163"/>
    </x:row>
    <x:row r="51">
      <x:c r="A51" s="195"/>
      <x:c r="B51" s="162"/>
      <x:c r="C51" s="162"/>
      <x:c r="D51" s="162"/>
      <x:c r="E51" s="162"/>
      <x:c r="F51" s="162"/>
      <x:c r="G51" s="162"/>
      <x:c r="H51" s="196"/>
      <x:c r="I51" s="162"/>
      <x:c r="J51" s="163"/>
    </x:row>
    <x:row r="52">
      <x:c r="A52" s="197"/>
      <x:c r="B52" s="166"/>
      <x:c r="C52" s="166"/>
      <x:c r="D52" s="166"/>
      <x:c r="E52" s="166"/>
      <x:c r="F52" s="166"/>
      <x:c r="G52" s="166" t="str">
        <x:v>Tot.:</x:v>
      </x:c>
      <x:c r="H52" s="198" t="n">
        <x:v>1610</x:v>
      </x:c>
      <x:c r="I52" s="166"/>
      <x:c r="J52" s="167"/>
    </x:row>
    <x:row r="53">
      <x:c r="H53" s="152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68" hidden="0" customWidth="1"/>
    <x:col min="4" max="4" width="54" hidden="0" customWidth="1"/>
    <x:col min="5" max="5" width="23" hidden="0" customWidth="1"/>
  </x:cols>
  <x:sheetData>
    <x:row r="1" ht="24" customHeight="1">
      <x:c r="A1" s="289" t="str">
        <x:v>MATDOG — Audit URDF REV00 con proprietà dinamiche</x:v>
      </x:c>
      <x:c r="B1" s="289"/>
      <x:c r="C1" s="289"/>
      <x:c r="D1" s="289"/>
      <x:c r="E1" s="289"/>
    </x:row>
    <x:row r="2" ht="34" customHeight="1">
      <x:c r="A2" s="294" t="str">
        <x:v>Audit aggiornato: struttura, joint, mesh, scala STL mm→m, limiti, masse CAD, CoM per-link e tensori d’inerzia.</x:v>
      </x:c>
      <x:c r="B2" s="294"/>
      <x:c r="C2" s="294"/>
      <x:c r="D2" s="294"/>
      <x:c r="E2" s="294"/>
    </x:row>
    <x:row r="4" ht="32" customHeight="1">
      <x:c r="A4" s="390" t="str">
        <x:v>Area</x:v>
      </x:c>
      <x:c r="B4" s="390" t="str">
        <x:v>Esito</x:v>
      </x:c>
      <x:c r="C4" s="390" t="str">
        <x:v>Dettaglio</x:v>
      </x:c>
      <x:c r="D4" s="390" t="str">
        <x:v>Azione</x:v>
      </x:c>
      <x:c r="E4" s="390" t="str">
        <x:v>Stato</x:v>
      </x:c>
    </x:row>
    <x:row r="5" ht="38" customHeight="1">
      <x:c r="A5" s="301" t="str">
        <x:v>Struttura</x:v>
      </x:c>
      <x:c r="B5" s="301" t="str">
        <x:v>PASS</x:v>
      </x:c>
      <x:c r="C5" s="301" t="str">
        <x:v>17 link · 16 joint · singola root: base_link.</x:v>
      </x:c>
      <x:c r="D5" s="301" t="str">
        <x:v>Nessuna.</x:v>
      </x:c>
      <x:c r="E5" s="301" t="str">
        <x:v>Pulito</x:v>
      </x:c>
    </x:row>
    <x:row r="6" ht="38" customHeight="1">
      <x:c r="A6" s="301" t="str">
        <x:v>Catene cinematiche</x:v>
      </x:c>
      <x:c r="B6" s="301" t="str">
        <x:v>PASS</x:v>
      </x:c>
      <x:c r="C6" s="301" t="str">
        <x:v>4 catene complete: hip → upper → lower → foot.</x:v>
      </x:c>
      <x:c r="D6" s="301" t="str">
        <x:v>Nessuna.</x:v>
      </x:c>
      <x:c r="E6" s="301" t="str">
        <x:v>Pulito</x:v>
      </x:c>
    </x:row>
    <x:row r="7" ht="38" customHeight="1">
      <x:c r="A7" s="301" t="str">
        <x:v>Coordinate joint</x:v>
      </x:c>
      <x:c r="B7" s="301" t="str">
        <x:v>PASS</x:v>
      </x:c>
      <x:c r="C7" s="301" t="str">
        <x:v>Tutti gli origin joint sono nel parent-link frame; rpy joint = 0.</x:v>
      </x:c>
      <x:c r="D7" s="301" t="str">
        <x:v>Nessuna.</x:v>
      </x:c>
      <x:c r="E7" s="301" t="str">
        <x:v>Pulito</x:v>
      </x:c>
    </x:row>
    <x:row r="8" ht="38" customHeight="1">
      <x:c r="A8" s="301" t="str">
        <x:v>Lower leg limits</x:v>
      </x:c>
      <x:c r="B8" s="301" t="str">
        <x:v>PASS</x:v>
      </x:c>
      <x:c r="C8" s="301" t="str">
        <x:v>4 joint: θmin = -92° (-1.605702911835 rad) · θmax = +37.5°.</x:v>
      </x:c>
      <x:c r="D8" s="301" t="str">
        <x:v>Aggiornati nella presente revisione.</x:v>
      </x:c>
      <x:c r="E8" s="301" t="str">
        <x:v>Canonico</x:v>
      </x:c>
    </x:row>
    <x:row r="9" ht="38" customHeight="1">
      <x:c r="A9" s="301" t="str">
        <x:v>Upper leg limits</x:v>
      </x:c>
      <x:c r="B9" s="301" t="str">
        <x:v>PASS</x:v>
      </x:c>
      <x:c r="C9" s="301" t="str">
        <x:v>4 joint: θmin = -52.5° · θmax = +122.5°.</x:v>
      </x:c>
      <x:c r="D9" s="301" t="str">
        <x:v>Nessuna.</x:v>
      </x:c>
      <x:c r="E9" s="301" t="str">
        <x:v>Canonico</x:v>
      </x:c>
    </x:row>
    <x:row r="10" ht="38" customHeight="1">
      <x:c r="A10" s="301" t="str">
        <x:v>Mesh references</x:v>
      </x:c>
      <x:c r="B10" s="301" t="str">
        <x:v>PASS</x:v>
      </x:c>
      <x:c r="C10" s="301" t="str">
        <x:v>34 riferimenti mesh (visual + collision), tutti relativi a meshes/*.stl; 17 asset unici; ogni mesh dichiara scale="0.001 0.001 0.001".</x:v>
      </x:c>
      <x:c r="D10" s="301" t="str">
        <x:v>Scala URDF dichiarata per STL CAD in mm.</x:v>
      </x:c>
      <x:c r="E10" s="301" t="str">
        <x:v>Canonico</x:v>
      </x:c>
    </x:row>
    <x:row r="11" ht="38" customHeight="1">
      <x:c r="A11" s="301" t="str">
        <x:v>Mesh origins</x:v>
      </x:c>
      <x:c r="B11" s="301" t="str">
        <x:v>PASS</x:v>
      </x:c>
      <x:c r="C11" s="301" t="str">
        <x:v>17 link: visual e collision usano xyz 0,0,0 · rpy 0,0,0.</x:v>
      </x:c>
      <x:c r="D11" s="301" t="str">
        <x:v>Nessuna.</x:v>
      </x:c>
      <x:c r="E11" s="301" t="str">
        <x:v>Pulito</x:v>
      </x:c>
    </x:row>
    <x:row r="12" ht="38" customHeight="1">
      <x:c r="A12" s="301" t="str">
        <x:v>Visual / Collision</x:v>
      </x:c>
      <x:c r="B12" s="301" t="str">
        <x:v>PASS</x:v>
      </x:c>
      <x:c r="C12" s="301" t="str">
        <x:v>Per ciascun link visual e collision usano stessa mesh e stessa origin.</x:v>
      </x:c>
      <x:c r="D12" s="301" t="str">
        <x:v>Scelta attuale conservata.</x:v>
      </x:c>
      <x:c r="E12" s="301" t="str">
        <x:v>Coerente</x:v>
      </x:c>
    </x:row>
    <x:row r="13" ht="38" customHeight="1">
      <x:c r="A13" s="391" t="str">
        <x:v>Masses + CoM</x:v>
      </x:c>
      <x:c r="B13" s="391" t="str">
        <x:v>PASS</x:v>
      </x:c>
      <x:c r="C13" s="391" t="str">
        <x:v>2.480 kg from CAD reconciliation; every modeled link has a CAD CoM in its local URDF frame.</x:v>
      </x:c>
      <x:c r="D13" s="391" t="str">
        <x:v>Inserted in standard &lt;inertial&gt; blocks.</x:v>
      </x:c>
      <x:c r="E13" s="391" t="str">
        <x:v>Simulation-ready</x:v>
      </x:c>
    </x:row>
    <x:row r="14" ht="38" customHeight="1">
      <x:c r="A14" s="391" t="str">
        <x:v>Inertia tensors</x:v>
      </x:c>
      <x:c r="B14" s="391" t="str">
        <x:v>PASS</x:v>
      </x:c>
      <x:c r="C14" s="391" t="str">
        <x:v>Tensors reconstructed at CoM from principal axes + radii of gyration; symmetry-derived legs aggregate-check against full CAD assembly.</x:v>
      </x:c>
      <x:c r="D14" s="391" t="str">
        <x:v>Inserted in standard &lt;inertial&gt; blocks.</x:v>
      </x:c>
      <x:c r="E14" s="391" t="str">
        <x:v>Simulation-ready</x:v>
      </x:c>
    </x:row>
    <x:row r="15" ht="38" customHeight="1">
      <x:c r="A15" s="392" t="str">
        <x:v>Neck yaw scope</x:v>
      </x:c>
      <x:c r="B15" s="392" t="str">
        <x:v>INFO</x:v>
      </x:c>
      <x:c r="C15" s="392" t="str">
        <x:v>No standalone neck yaw link or mounted-frame inertial report is included in REV00.</x:v>
      </x:c>
      <x:c r="D15" s="392" t="str">
        <x:v>Keep excluded until dedicated CAD export is available.</x:v>
      </x:c>
      <x:c r="E15" s="392" t="str">
        <x:v>Controlled scope</x:v>
      </x:c>
    </x:row>
  </x:sheetData>
  <x:mergeCells>
    <x:mergeCell ref="A1:E1"/>
    <x:mergeCell ref="A2:E2"/>
  </x:mergeCells>
  <x:conditionalFormatting sqref="B5:B11">
    <x:cfRule type="expression" dxfId="0" priority="1">
      <x:formula>B5="PASS"</x:formula>
    </x:cfRule>
  </x:conditionalFormatting>
  <x:conditionalFormatting sqref="B12:B14">
    <x:cfRule type="expression" dxfId="1" priority="2">
      <x:formula>B12="INFO"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" hidden="0" customWidth="1"/>
    <x:col min="3" max="3" width="21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9" hidden="0" customWidth="1"/>
    <x:col min="15" max="15" width="40" hidden="0" customWidth="1"/>
    <x:col min="16" max="16" width="48" hidden="0" customWidth="1"/>
    <x:col min="17" max="17" width="22" hidden="0" customWidth="1"/>
  </x:cols>
  <x:sheetData>
    <x:row r="1" ht="24" customHeight="1">
      <x:c r="A1" s="289" t="str">
        <x:v>MATDOG — Proprietà inerziali REV00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</x:row>
    <x:row r="2" ht="36" customHeight="1">
      <x:c r="A2" s="294" t="str">
        <x:v>Fonte canonica per il modello dinamico: masse CAD riconciliate, baricentri per-link e tensori d’inerzia al centro di massa, espressi nei frame URDF dei link.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</x:row>
    <x:row r="4" ht="32" customHeight="1">
      <x:c r="A4" s="300" t="str">
        <x:v>Link</x:v>
      </x:c>
      <x:c r="B4" s="300" t="str">
        <x:v>Leg</x:v>
      </x:c>
      <x:c r="C4" s="300" t="str">
        <x:v>CAD subassembly</x:v>
      </x:c>
      <x:c r="D4" s="300" t="str">
        <x:v>Mass
[kg]</x:v>
      </x:c>
      <x:c r="E4" s="300" t="str">
        <x:v>CoM X
[m]</x:v>
      </x:c>
      <x:c r="F4" s="300" t="str">
        <x:v>CoM Y
[m]</x:v>
      </x:c>
      <x:c r="G4" s="300" t="str">
        <x:v>CoM Z
[m]</x:v>
      </x:c>
      <x:c r="H4" s="300" t="str">
        <x:v>Ixx
[kg·m²]</x:v>
      </x:c>
      <x:c r="I4" s="300" t="str">
        <x:v>Ixy
[kg·m²]</x:v>
      </x:c>
      <x:c r="J4" s="300" t="str">
        <x:v>Ixz
[kg·m²]</x:v>
      </x:c>
      <x:c r="K4" s="300" t="str">
        <x:v>Iyy
[kg·m²]</x:v>
      </x:c>
      <x:c r="L4" s="300" t="str">
        <x:v>Iyz
[kg·m²]</x:v>
      </x:c>
      <x:c r="M4" s="300" t="str">
        <x:v>Izz
[kg·m²]</x:v>
      </x:c>
      <x:c r="N4" s="300" t="str">
        <x:v>Evidence</x:v>
      </x:c>
      <x:c r="O4" s="300" t="str">
        <x:v>Derivation / symmetry rule</x:v>
      </x:c>
      <x:c r="P4" s="300" t="str">
        <x:v>Source files</x:v>
      </x:c>
      <x:c r="Q4" s="300" t="str">
        <x:v>URDF state</x:v>
      </x:c>
    </x:row>
    <x:row r="5">
      <x:c r="A5" s="301" t="str">
        <x:v>base_link</x:v>
      </x:c>
      <x:c r="B5" s="301" t="str">
        <x:v>Body</x:v>
      </x:c>
      <x:c r="C5" s="301" t="str">
        <x:v>Base assembly</x:v>
      </x:c>
      <x:c r="D5" s="303" t="n">
        <x:v>1.282</x:v>
      </x:c>
      <x:c r="E5" s="303" t="n">
        <x:v>0.00584</x:v>
      </x:c>
      <x:c r="F5" s="303" t="n">
        <x:v>-0.00065</x:v>
      </x:c>
      <x:c r="G5" s="303" t="n">
        <x:v>0.02773</x:v>
      </x:c>
      <x:c r="H5" s="302" t="n">
        <x:v>0.00147265728657</x:v>
      </x:c>
      <x:c r="I5" s="302" t="n">
        <x:v>0.0000142294028465</x:v>
      </x:c>
      <x:c r="J5" s="302" t="n">
        <x:v>-0.000443609672652</x:v>
      </x:c>
      <x:c r="K5" s="302" t="n">
        <x:v>0.00887012995059</x:v>
      </x:c>
      <x:c r="L5" s="302" t="n">
        <x:v>-0.00000770141299896</x:v>
      </x:c>
      <x:c r="M5" s="302" t="n">
        <x:v>0.00949906085204</x:v>
      </x:c>
      <x:c r="N5" s="301" t="str">
        <x:v>DIRECT CAD</x:v>
      </x:c>
      <x:c r="O5" s="301" t="str">
        <x:v>CAD direct: principal axes + radii of gyration</x:v>
      </x:c>
      <x:c r="P5" s="301" t="str">
        <x:v>physprop__base_link.txt + weight_breakdown_summary.txt</x:v>
      </x:c>
      <x:c r="Q5" s="301" t="str">
        <x:v>URDF &lt;inertial&gt; ready</x:v>
      </x:c>
    </x:row>
    <x:row r="6">
      <x:c r="A6" s="301" t="str">
        <x:v>lf_hip_link</x:v>
      </x:c>
      <x:c r="B6" s="301" t="str">
        <x:v>LF</x:v>
      </x:c>
      <x:c r="C6" s="301" t="str">
        <x:v>Hip subassembly</x:v>
      </x:c>
      <x:c r="D6" s="303" t="n">
        <x:v>0.05</x:v>
      </x:c>
      <x:c r="E6" s="303" t="n">
        <x:v>0.00366</x:v>
      </x:c>
      <x:c r="F6" s="303" t="n">
        <x:v>0.02982</x:v>
      </x:c>
      <x:c r="G6" s="303" t="n">
        <x:v>0.00694</x:v>
      </x:c>
      <x:c r="H6" s="302" t="n">
        <x:v>0.0000402252347591</x:v>
      </x:c>
      <x:c r="I6" s="302" t="n">
        <x:v>-0.00000131462768927</x:v>
      </x:c>
      <x:c r="J6" s="302" t="n">
        <x:v>-0.00000113953716339</x:v>
      </x:c>
      <x:c r="K6" s="302" t="n">
        <x:v>0.000018958128496</x:v>
      </x:c>
      <x:c r="L6" s="302" t="n">
        <x:v>-0.00000446400670021</x:v>
      </x:c>
      <x:c r="M6" s="302" t="n">
        <x:v>0.0000454280867449</x:v>
      </x:c>
      <x:c r="N6" s="301" t="str">
        <x:v>DIRECT CAD</x:v>
      </x:c>
      <x:c r="O6" s="301" t="str">
        <x:v>CAD direct: principal axes + radii of gyration</x:v>
      </x:c>
      <x:c r="P6" s="301" t="str">
        <x:v>physprop__lf_hip_link.txt + weight_breakdown_summary.txt</x:v>
      </x:c>
      <x:c r="Q6" s="301" t="str">
        <x:v>URDF &lt;inertial&gt; ready</x:v>
      </x:c>
    </x:row>
    <x:row r="7">
      <x:c r="A7" s="301" t="str">
        <x:v>lf_upper_leg_link</x:v>
      </x:c>
      <x:c r="B7" s="301" t="str">
        <x:v>LF</x:v>
      </x:c>
      <x:c r="C7" s="301" t="str">
        <x:v>Upper-leg subassembly</x:v>
      </x:c>
      <x:c r="D7" s="303" t="n">
        <x:v>0.1725</x:v>
      </x:c>
      <x:c r="E7" s="303" t="n">
        <x:v>0.00108</x:v>
      </x:c>
      <x:c r="F7" s="303" t="n">
        <x:v>0.00015</x:v>
      </x:c>
      <x:c r="G7" s="303" t="n">
        <x:v>-0.04503</x:v>
      </x:c>
      <x:c r="H7" s="302" t="n">
        <x:v>0.000205436660094</x:v>
      </x:c>
      <x:c r="I7" s="302" t="n">
        <x:v>-5.63507198417e-8</x:v>
      </x:c>
      <x:c r="J7" s="302" t="n">
        <x:v>0</x:v>
      </x:c>
      <x:c r="K7" s="302" t="n">
        <x:v>0.000199175976156</x:v>
      </x:c>
      <x:c r="L7" s="302" t="n">
        <x:v>0</x:v>
      </x:c>
      <x:c r="M7" s="302" t="n">
        <x:v>0.00003111294525</x:v>
      </x:c>
      <x:c r="N7" s="301" t="str">
        <x:v>DIRECT CAD</x:v>
      </x:c>
      <x:c r="O7" s="301" t="str">
        <x:v>CAD direct: principal axes + radii of gyration</x:v>
      </x:c>
      <x:c r="P7" s="301" t="str">
        <x:v>physprop__lf_upper_leg_link.txt + weight_breakdown_summary.txt</x:v>
      </x:c>
      <x:c r="Q7" s="301" t="str">
        <x:v>URDF &lt;inertial&gt; ready</x:v>
      </x:c>
    </x:row>
    <x:row r="8">
      <x:c r="A8" s="301" t="str">
        <x:v>lf_lower_leg_link</x:v>
      </x:c>
      <x:c r="B8" s="301" t="str">
        <x:v>LF</x:v>
      </x:c>
      <x:c r="C8" s="301" t="str">
        <x:v>Lower-leg subassembly</x:v>
      </x:c>
      <x:c r="D8" s="303" t="n">
        <x:v>0.0595</x:v>
      </x:c>
      <x:c r="E8" s="303" t="n">
        <x:v>0.03075</x:v>
      </x:c>
      <x:c r="F8" s="303" t="n">
        <x:v>-0.00118</x:v>
      </x:c>
      <x:c r="G8" s="303" t="n">
        <x:v>-0.01958</x:v>
      </x:c>
      <x:c r="H8" s="302" t="n">
        <x:v>0.0000215172642767</x:v>
      </x:c>
      <x:c r="I8" s="302" t="n">
        <x:v>6.0930015348e-7</x:v>
      </x:c>
      <x:c r="J8" s="302" t="n">
        <x:v>0.0000168302311374</x:v>
      </x:c>
      <x:c r="K8" s="302" t="n">
        <x:v>0.000102530052784</x:v>
      </x:c>
      <x:c r="L8" s="302" t="n">
        <x:v>-3.71953235117e-7</x:v>
      </x:c>
      <x:c r="M8" s="302" t="n">
        <x:v>0.000104321477439</x:v>
      </x:c>
      <x:c r="N8" s="301" t="str">
        <x:v>DIRECT CAD</x:v>
      </x:c>
      <x:c r="O8" s="301" t="str">
        <x:v>CAD direct: principal axes + radii of gyration</x:v>
      </x:c>
      <x:c r="P8" s="301" t="str">
        <x:v>physprop__lf_lower_leg_link.txt + weight_breakdown_summary.txt</x:v>
      </x:c>
      <x:c r="Q8" s="301" t="str">
        <x:v>URDF &lt;inertial&gt; ready</x:v>
      </x:c>
    </x:row>
    <x:row r="9">
      <x:c r="A9" s="301" t="str">
        <x:v>lf_foot_link</x:v>
      </x:c>
      <x:c r="B9" s="301" t="str">
        <x:v>LF</x:v>
      </x:c>
      <x:c r="C9" s="301" t="str">
        <x:v>Foot subassembly</x:v>
      </x:c>
      <x:c r="D9" s="303" t="n">
        <x:v>0.0175</x:v>
      </x:c>
      <x:c r="E9" s="303" t="n">
        <x:v>-0.00052</x:v>
      </x:c>
      <x:c r="F9" s="303" t="n">
        <x:v>0</x:v>
      </x:c>
      <x:c r="G9" s="303" t="n">
        <x:v>0.01548</x:v>
      </x:c>
      <x:c r="H9" s="302" t="n">
        <x:v>0.00000114526961866</x:v>
      </x:c>
      <x:c r="I9" s="302" t="n">
        <x:v>0</x:v>
      </x:c>
      <x:c r="J9" s="302" t="n">
        <x:v>-1.55064671079e-8</x:v>
      </x:c>
      <x:c r="K9" s="302" t="n">
        <x:v>0.00000120267175</x:v>
      </x:c>
      <x:c r="L9" s="302" t="n">
        <x:v>0</x:v>
      </x:c>
      <x:c r="M9" s="302" t="n">
        <x:v>0.00000114835213134</x:v>
      </x:c>
      <x:c r="N9" s="301" t="str">
        <x:v>DIRECT CAD</x:v>
      </x:c>
      <x:c r="O9" s="301" t="str">
        <x:v>CAD direct: principal axes + radii of gyration</x:v>
      </x:c>
      <x:c r="P9" s="301" t="str">
        <x:v>physprop__lf_foot_link.txt + weight_breakdown_summary.txt</x:v>
      </x:c>
      <x:c r="Q9" s="301" t="str">
        <x:v>URDF &lt;inertial&gt; ready</x:v>
      </x:c>
    </x:row>
    <x:row r="10">
      <x:c r="A10" s="301" t="str">
        <x:v>rf_hip_link</x:v>
      </x:c>
      <x:c r="B10" s="301" t="str">
        <x:v>RF</x:v>
      </x:c>
      <x:c r="C10" s="301" t="str">
        <x:v>Hip subassembly</x:v>
      </x:c>
      <x:c r="D10" s="303" t="n">
        <x:v>0.05</x:v>
      </x:c>
      <x:c r="E10" s="303" t="n">
        <x:v>0.00366</x:v>
      </x:c>
      <x:c r="F10" s="303" t="n">
        <x:v>-0.02982</x:v>
      </x:c>
      <x:c r="G10" s="303" t="n">
        <x:v>0.00694</x:v>
      </x:c>
      <x:c r="H10" s="302" t="n">
        <x:v>0.0000402252347591</x:v>
      </x:c>
      <x:c r="I10" s="302" t="n">
        <x:v>0.00000131462768927</x:v>
      </x:c>
      <x:c r="J10" s="302" t="n">
        <x:v>-0.00000113953716339</x:v>
      </x:c>
      <x:c r="K10" s="302" t="n">
        <x:v>0.000018958128496</x:v>
      </x:c>
      <x:c r="L10" s="302" t="n">
        <x:v>0.00000446400670021</x:v>
      </x:c>
      <x:c r="M10" s="302" t="n">
        <x:v>0.0000454280867449</x:v>
      </x:c>
      <x:c r="N10" s="301" t="str">
        <x:v>DERIVED BY SYMMETRY</x:v>
      </x:c>
      <x:c r="O10" s="301" t="str">
        <x:v>CAD symmetry-derived from LF: local Y reflection</x:v>
      </x:c>
      <x:c r="P10" s="301" t="str">
        <x:v>physprop__lf_hip_link.txt + weight_breakdown_summary.txt</x:v>
      </x:c>
      <x:c r="Q10" s="301" t="str">
        <x:v>URDF &lt;inertial&gt; ready</x:v>
      </x:c>
    </x:row>
    <x:row r="11">
      <x:c r="A11" s="301" t="str">
        <x:v>rf_upper_leg_link</x:v>
      </x:c>
      <x:c r="B11" s="301" t="str">
        <x:v>RF</x:v>
      </x:c>
      <x:c r="C11" s="301" t="str">
        <x:v>Upper-leg subassembly</x:v>
      </x:c>
      <x:c r="D11" s="303" t="n">
        <x:v>0.1725</x:v>
      </x:c>
      <x:c r="E11" s="303" t="n">
        <x:v>0.00108</x:v>
      </x:c>
      <x:c r="F11" s="303" t="n">
        <x:v>-0.00015</x:v>
      </x:c>
      <x:c r="G11" s="303" t="n">
        <x:v>-0.04503</x:v>
      </x:c>
      <x:c r="H11" s="302" t="n">
        <x:v>0.000205436660094</x:v>
      </x:c>
      <x:c r="I11" s="302" t="n">
        <x:v>5.63507198417e-8</x:v>
      </x:c>
      <x:c r="J11" s="302" t="n">
        <x:v>0</x:v>
      </x:c>
      <x:c r="K11" s="302" t="n">
        <x:v>0.000199175976156</x:v>
      </x:c>
      <x:c r="L11" s="302" t="n">
        <x:v>0</x:v>
      </x:c>
      <x:c r="M11" s="302" t="n">
        <x:v>0.00003111294525</x:v>
      </x:c>
      <x:c r="N11" s="301" t="str">
        <x:v>DERIVED BY SYMMETRY</x:v>
      </x:c>
      <x:c r="O11" s="301" t="str">
        <x:v>CAD symmetry-derived from LF: local Y reflection</x:v>
      </x:c>
      <x:c r="P11" s="301" t="str">
        <x:v>physprop__lf_upper_leg_link.txt + weight_breakdown_summary.txt</x:v>
      </x:c>
      <x:c r="Q11" s="301" t="str">
        <x:v>URDF &lt;inertial&gt; ready</x:v>
      </x:c>
    </x:row>
    <x:row r="12">
      <x:c r="A12" s="301" t="str">
        <x:v>rf_lower_leg_link</x:v>
      </x:c>
      <x:c r="B12" s="301" t="str">
        <x:v>RF</x:v>
      </x:c>
      <x:c r="C12" s="301" t="str">
        <x:v>Lower-leg subassembly</x:v>
      </x:c>
      <x:c r="D12" s="303" t="n">
        <x:v>0.0595</x:v>
      </x:c>
      <x:c r="E12" s="303" t="n">
        <x:v>0.03075</x:v>
      </x:c>
      <x:c r="F12" s="303" t="n">
        <x:v>0.00118</x:v>
      </x:c>
      <x:c r="G12" s="303" t="n">
        <x:v>-0.01958</x:v>
      </x:c>
      <x:c r="H12" s="302" t="n">
        <x:v>0.0000215172642767</x:v>
      </x:c>
      <x:c r="I12" s="302" t="n">
        <x:v>-6.0930015348e-7</x:v>
      </x:c>
      <x:c r="J12" s="302" t="n">
        <x:v>0.0000168302311374</x:v>
      </x:c>
      <x:c r="K12" s="302" t="n">
        <x:v>0.000102530052784</x:v>
      </x:c>
      <x:c r="L12" s="302" t="n">
        <x:v>3.71953235117e-7</x:v>
      </x:c>
      <x:c r="M12" s="302" t="n">
        <x:v>0.000104321477439</x:v>
      </x:c>
      <x:c r="N12" s="301" t="str">
        <x:v>DERIVED BY SYMMETRY</x:v>
      </x:c>
      <x:c r="O12" s="301" t="str">
        <x:v>CAD symmetry-derived from LF: local Y reflection</x:v>
      </x:c>
      <x:c r="P12" s="301" t="str">
        <x:v>physprop__lf_lower_leg_link.txt + weight_breakdown_summary.txt</x:v>
      </x:c>
      <x:c r="Q12" s="301" t="str">
        <x:v>URDF &lt;inertial&gt; ready</x:v>
      </x:c>
    </x:row>
    <x:row r="13">
      <x:c r="A13" s="301" t="str">
        <x:v>rf_foot_link</x:v>
      </x:c>
      <x:c r="B13" s="301" t="str">
        <x:v>RF</x:v>
      </x:c>
      <x:c r="C13" s="301" t="str">
        <x:v>Foot subassembly</x:v>
      </x:c>
      <x:c r="D13" s="303" t="n">
        <x:v>0.0175</x:v>
      </x:c>
      <x:c r="E13" s="303" t="n">
        <x:v>-0.00052</x:v>
      </x:c>
      <x:c r="F13" s="303" t="n">
        <x:v>0</x:v>
      </x:c>
      <x:c r="G13" s="303" t="n">
        <x:v>0.01548</x:v>
      </x:c>
      <x:c r="H13" s="302" t="n">
        <x:v>0.00000114526961866</x:v>
      </x:c>
      <x:c r="I13" s="302" t="n">
        <x:v>0</x:v>
      </x:c>
      <x:c r="J13" s="302" t="n">
        <x:v>-1.55064671079e-8</x:v>
      </x:c>
      <x:c r="K13" s="302" t="n">
        <x:v>0.00000120267175</x:v>
      </x:c>
      <x:c r="L13" s="302" t="n">
        <x:v>0</x:v>
      </x:c>
      <x:c r="M13" s="302" t="n">
        <x:v>0.00000114835213134</x:v>
      </x:c>
      <x:c r="N13" s="301" t="str">
        <x:v>DERIVED BY SYMMETRY</x:v>
      </x:c>
      <x:c r="O13" s="301" t="str">
        <x:v>CAD symmetry-derived from LF: identical foot geometry</x:v>
      </x:c>
      <x:c r="P13" s="301" t="str">
        <x:v>physprop__lf_foot_link.txt + weight_breakdown_summary.txt</x:v>
      </x:c>
      <x:c r="Q13" s="301" t="str">
        <x:v>URDF &lt;inertial&gt; ready</x:v>
      </x:c>
    </x:row>
    <x:row r="14">
      <x:c r="A14" s="301" t="str">
        <x:v>rh_hip_link</x:v>
      </x:c>
      <x:c r="B14" s="301" t="str">
        <x:v>RH</x:v>
      </x:c>
      <x:c r="C14" s="301" t="str">
        <x:v>Hip subassembly</x:v>
      </x:c>
      <x:c r="D14" s="303" t="n">
        <x:v>0.05</x:v>
      </x:c>
      <x:c r="E14" s="303" t="n">
        <x:v>0.00366</x:v>
      </x:c>
      <x:c r="F14" s="303" t="n">
        <x:v>-0.02982</x:v>
      </x:c>
      <x:c r="G14" s="303" t="n">
        <x:v>0.00694</x:v>
      </x:c>
      <x:c r="H14" s="302" t="n">
        <x:v>0.0000402252347591</x:v>
      </x:c>
      <x:c r="I14" s="302" t="n">
        <x:v>0.00000131462768927</x:v>
      </x:c>
      <x:c r="J14" s="302" t="n">
        <x:v>-0.00000113953716339</x:v>
      </x:c>
      <x:c r="K14" s="302" t="n">
        <x:v>0.000018958128496</x:v>
      </x:c>
      <x:c r="L14" s="302" t="n">
        <x:v>0.00000446400670021</x:v>
      </x:c>
      <x:c r="M14" s="302" t="n">
        <x:v>0.0000454280867449</x:v>
      </x:c>
      <x:c r="N14" s="301" t="str">
        <x:v>DERIVED BY SYMMETRY</x:v>
      </x:c>
      <x:c r="O14" s="301" t="str">
        <x:v>CAD symmetry-derived from LF: local Y reflection</x:v>
      </x:c>
      <x:c r="P14" s="301" t="str">
        <x:v>physprop__lf_hip_link.txt + weight_breakdown_summary.txt</x:v>
      </x:c>
      <x:c r="Q14" s="301" t="str">
        <x:v>URDF &lt;inertial&gt; ready</x:v>
      </x:c>
    </x:row>
    <x:row r="15">
      <x:c r="A15" s="301" t="str">
        <x:v>rh_upper_leg_link</x:v>
      </x:c>
      <x:c r="B15" s="301" t="str">
        <x:v>RH</x:v>
      </x:c>
      <x:c r="C15" s="301" t="str">
        <x:v>Upper-leg subassembly</x:v>
      </x:c>
      <x:c r="D15" s="303" t="n">
        <x:v>0.1725</x:v>
      </x:c>
      <x:c r="E15" s="303" t="n">
        <x:v>0.00108</x:v>
      </x:c>
      <x:c r="F15" s="303" t="n">
        <x:v>-0.00015</x:v>
      </x:c>
      <x:c r="G15" s="303" t="n">
        <x:v>-0.04503</x:v>
      </x:c>
      <x:c r="H15" s="302" t="n">
        <x:v>0.000205436660094</x:v>
      </x:c>
      <x:c r="I15" s="302" t="n">
        <x:v>5.63507198417e-8</x:v>
      </x:c>
      <x:c r="J15" s="302" t="n">
        <x:v>0</x:v>
      </x:c>
      <x:c r="K15" s="302" t="n">
        <x:v>0.000199175976156</x:v>
      </x:c>
      <x:c r="L15" s="302" t="n">
        <x:v>0</x:v>
      </x:c>
      <x:c r="M15" s="302" t="n">
        <x:v>0.00003111294525</x:v>
      </x:c>
      <x:c r="N15" s="301" t="str">
        <x:v>DERIVED BY SYMMETRY</x:v>
      </x:c>
      <x:c r="O15" s="301" t="str">
        <x:v>CAD symmetry-derived from LF: local Y reflection</x:v>
      </x:c>
      <x:c r="P15" s="301" t="str">
        <x:v>physprop__lf_upper_leg_link.txt + weight_breakdown_summary.txt</x:v>
      </x:c>
      <x:c r="Q15" s="301" t="str">
        <x:v>URDF &lt;inertial&gt; ready</x:v>
      </x:c>
    </x:row>
    <x:row r="16">
      <x:c r="A16" s="301" t="str">
        <x:v>rh_lower_leg_link</x:v>
      </x:c>
      <x:c r="B16" s="301" t="str">
        <x:v>RH</x:v>
      </x:c>
      <x:c r="C16" s="301" t="str">
        <x:v>Lower-leg subassembly</x:v>
      </x:c>
      <x:c r="D16" s="303" t="n">
        <x:v>0.0595</x:v>
      </x:c>
      <x:c r="E16" s="303" t="n">
        <x:v>0.03075</x:v>
      </x:c>
      <x:c r="F16" s="303" t="n">
        <x:v>0.00118</x:v>
      </x:c>
      <x:c r="G16" s="303" t="n">
        <x:v>-0.01958</x:v>
      </x:c>
      <x:c r="H16" s="302" t="n">
        <x:v>0.0000215172642767</x:v>
      </x:c>
      <x:c r="I16" s="302" t="n">
        <x:v>-6.0930015348e-7</x:v>
      </x:c>
      <x:c r="J16" s="302" t="n">
        <x:v>0.0000168302311374</x:v>
      </x:c>
      <x:c r="K16" s="302" t="n">
        <x:v>0.000102530052784</x:v>
      </x:c>
      <x:c r="L16" s="302" t="n">
        <x:v>3.71953235117e-7</x:v>
      </x:c>
      <x:c r="M16" s="302" t="n">
        <x:v>0.000104321477439</x:v>
      </x:c>
      <x:c r="N16" s="301" t="str">
        <x:v>DERIVED BY SYMMETRY</x:v>
      </x:c>
      <x:c r="O16" s="301" t="str">
        <x:v>CAD symmetry-derived from LF: local Y reflection</x:v>
      </x:c>
      <x:c r="P16" s="301" t="str">
        <x:v>physprop__lf_lower_leg_link.txt + weight_breakdown_summary.txt</x:v>
      </x:c>
      <x:c r="Q16" s="301" t="str">
        <x:v>URDF &lt;inertial&gt; ready</x:v>
      </x:c>
    </x:row>
    <x:row r="17">
      <x:c r="A17" s="301" t="str">
        <x:v>rh_foot_link</x:v>
      </x:c>
      <x:c r="B17" s="301" t="str">
        <x:v>RH</x:v>
      </x:c>
      <x:c r="C17" s="301" t="str">
        <x:v>Foot subassembly</x:v>
      </x:c>
      <x:c r="D17" s="303" t="n">
        <x:v>0.0175</x:v>
      </x:c>
      <x:c r="E17" s="303" t="n">
        <x:v>-0.00052</x:v>
      </x:c>
      <x:c r="F17" s="303" t="n">
        <x:v>0</x:v>
      </x:c>
      <x:c r="G17" s="303" t="n">
        <x:v>0.01548</x:v>
      </x:c>
      <x:c r="H17" s="302" t="n">
        <x:v>0.00000114526961866</x:v>
      </x:c>
      <x:c r="I17" s="302" t="n">
        <x:v>0</x:v>
      </x:c>
      <x:c r="J17" s="302" t="n">
        <x:v>-1.55064671079e-8</x:v>
      </x:c>
      <x:c r="K17" s="302" t="n">
        <x:v>0.00000120267175</x:v>
      </x:c>
      <x:c r="L17" s="302" t="n">
        <x:v>0</x:v>
      </x:c>
      <x:c r="M17" s="302" t="n">
        <x:v>0.00000114835213134</x:v>
      </x:c>
      <x:c r="N17" s="301" t="str">
        <x:v>DERIVED BY SYMMETRY</x:v>
      </x:c>
      <x:c r="O17" s="301" t="str">
        <x:v>CAD symmetry-derived from LF: identical foot geometry</x:v>
      </x:c>
      <x:c r="P17" s="301" t="str">
        <x:v>physprop__lf_foot_link.txt + weight_breakdown_summary.txt</x:v>
      </x:c>
      <x:c r="Q17" s="301" t="str">
        <x:v>URDF &lt;inertial&gt; ready</x:v>
      </x:c>
    </x:row>
    <x:row r="18">
      <x:c r="A18" s="301" t="str">
        <x:v>lh_hip_link</x:v>
      </x:c>
      <x:c r="B18" s="301" t="str">
        <x:v>LH</x:v>
      </x:c>
      <x:c r="C18" s="301" t="str">
        <x:v>Hip subassembly</x:v>
      </x:c>
      <x:c r="D18" s="303" t="n">
        <x:v>0.05</x:v>
      </x:c>
      <x:c r="E18" s="303" t="n">
        <x:v>0.00366</x:v>
      </x:c>
      <x:c r="F18" s="303" t="n">
        <x:v>0.02982</x:v>
      </x:c>
      <x:c r="G18" s="303" t="n">
        <x:v>0.00694</x:v>
      </x:c>
      <x:c r="H18" s="302" t="n">
        <x:v>0.0000402252347591</x:v>
      </x:c>
      <x:c r="I18" s="302" t="n">
        <x:v>-0.00000131462768927</x:v>
      </x:c>
      <x:c r="J18" s="302" t="n">
        <x:v>-0.00000113953716339</x:v>
      </x:c>
      <x:c r="K18" s="302" t="n">
        <x:v>0.000018958128496</x:v>
      </x:c>
      <x:c r="L18" s="302" t="n">
        <x:v>-0.00000446400670021</x:v>
      </x:c>
      <x:c r="M18" s="302" t="n">
        <x:v>0.0000454280867449</x:v>
      </x:c>
      <x:c r="N18" s="301" t="str">
        <x:v>DERIVED BY SYMMETRY</x:v>
      </x:c>
      <x:c r="O18" s="301" t="str">
        <x:v>CAD symmetry-derived from LF: same left-side local geometry</x:v>
      </x:c>
      <x:c r="P18" s="301" t="str">
        <x:v>physprop__lf_hip_link.txt + weight_breakdown_summary.txt</x:v>
      </x:c>
      <x:c r="Q18" s="301" t="str">
        <x:v>URDF &lt;inertial&gt; ready</x:v>
      </x:c>
    </x:row>
    <x:row r="19">
      <x:c r="A19" s="301" t="str">
        <x:v>lh_upper_leg_link</x:v>
      </x:c>
      <x:c r="B19" s="301" t="str">
        <x:v>LH</x:v>
      </x:c>
      <x:c r="C19" s="301" t="str">
        <x:v>Upper-leg subassembly</x:v>
      </x:c>
      <x:c r="D19" s="303" t="n">
        <x:v>0.1725</x:v>
      </x:c>
      <x:c r="E19" s="303" t="n">
        <x:v>0.00108</x:v>
      </x:c>
      <x:c r="F19" s="303" t="n">
        <x:v>0.00015</x:v>
      </x:c>
      <x:c r="G19" s="303" t="n">
        <x:v>-0.04503</x:v>
      </x:c>
      <x:c r="H19" s="302" t="n">
        <x:v>0.000205436660094</x:v>
      </x:c>
      <x:c r="I19" s="302" t="n">
        <x:v>-5.63507198417e-8</x:v>
      </x:c>
      <x:c r="J19" s="302" t="n">
        <x:v>0</x:v>
      </x:c>
      <x:c r="K19" s="302" t="n">
        <x:v>0.000199175976156</x:v>
      </x:c>
      <x:c r="L19" s="302" t="n">
        <x:v>0</x:v>
      </x:c>
      <x:c r="M19" s="302" t="n">
        <x:v>0.00003111294525</x:v>
      </x:c>
      <x:c r="N19" s="301" t="str">
        <x:v>DERIVED BY SYMMETRY</x:v>
      </x:c>
      <x:c r="O19" s="301" t="str">
        <x:v>CAD symmetry-derived from LF: same left-side local geometry</x:v>
      </x:c>
      <x:c r="P19" s="301" t="str">
        <x:v>physprop__lf_upper_leg_link.txt + weight_breakdown_summary.txt</x:v>
      </x:c>
      <x:c r="Q19" s="301" t="str">
        <x:v>URDF &lt;inertial&gt; ready</x:v>
      </x:c>
    </x:row>
    <x:row r="20">
      <x:c r="A20" s="301" t="str">
        <x:v>lh_lower_leg_link</x:v>
      </x:c>
      <x:c r="B20" s="301" t="str">
        <x:v>LH</x:v>
      </x:c>
      <x:c r="C20" s="301" t="str">
        <x:v>Lower-leg subassembly</x:v>
      </x:c>
      <x:c r="D20" s="303" t="n">
        <x:v>0.0595</x:v>
      </x:c>
      <x:c r="E20" s="303" t="n">
        <x:v>0.03075</x:v>
      </x:c>
      <x:c r="F20" s="303" t="n">
        <x:v>-0.00118</x:v>
      </x:c>
      <x:c r="G20" s="303" t="n">
        <x:v>-0.01958</x:v>
      </x:c>
      <x:c r="H20" s="302" t="n">
        <x:v>0.0000215172642767</x:v>
      </x:c>
      <x:c r="I20" s="302" t="n">
        <x:v>6.0930015348e-7</x:v>
      </x:c>
      <x:c r="J20" s="302" t="n">
        <x:v>0.0000168302311374</x:v>
      </x:c>
      <x:c r="K20" s="302" t="n">
        <x:v>0.000102530052784</x:v>
      </x:c>
      <x:c r="L20" s="302" t="n">
        <x:v>-3.71953235117e-7</x:v>
      </x:c>
      <x:c r="M20" s="302" t="n">
        <x:v>0.000104321477439</x:v>
      </x:c>
      <x:c r="N20" s="301" t="str">
        <x:v>DERIVED BY SYMMETRY</x:v>
      </x:c>
      <x:c r="O20" s="301" t="str">
        <x:v>CAD symmetry-derived from LF: same left-side local geometry</x:v>
      </x:c>
      <x:c r="P20" s="301" t="str">
        <x:v>physprop__lf_lower_leg_link.txt + weight_breakdown_summary.txt</x:v>
      </x:c>
      <x:c r="Q20" s="301" t="str">
        <x:v>URDF &lt;inertial&gt; ready</x:v>
      </x:c>
    </x:row>
    <x:row r="21">
      <x:c r="A21" s="301" t="str">
        <x:v>lh_foot_link</x:v>
      </x:c>
      <x:c r="B21" s="301" t="str">
        <x:v>LH</x:v>
      </x:c>
      <x:c r="C21" s="301" t="str">
        <x:v>Foot subassembly</x:v>
      </x:c>
      <x:c r="D21" s="303" t="n">
        <x:v>0.0175</x:v>
      </x:c>
      <x:c r="E21" s="303" t="n">
        <x:v>-0.00052</x:v>
      </x:c>
      <x:c r="F21" s="303" t="n">
        <x:v>0</x:v>
      </x:c>
      <x:c r="G21" s="303" t="n">
        <x:v>0.01548</x:v>
      </x:c>
      <x:c r="H21" s="302" t="n">
        <x:v>0.00000114526961866</x:v>
      </x:c>
      <x:c r="I21" s="302" t="n">
        <x:v>0</x:v>
      </x:c>
      <x:c r="J21" s="302" t="n">
        <x:v>-1.55064671079e-8</x:v>
      </x:c>
      <x:c r="K21" s="302" t="n">
        <x:v>0.00000120267175</x:v>
      </x:c>
      <x:c r="L21" s="302" t="n">
        <x:v>0</x:v>
      </x:c>
      <x:c r="M21" s="302" t="n">
        <x:v>0.00000114835213134</x:v>
      </x:c>
      <x:c r="N21" s="301" t="str">
        <x:v>DERIVED BY SYMMETRY</x:v>
      </x:c>
      <x:c r="O21" s="301" t="str">
        <x:v>CAD symmetry-derived from LF: identical foot geometry</x:v>
      </x:c>
      <x:c r="P21" s="301" t="str">
        <x:v>physprop__lf_foot_link.txt + weight_breakdown_summary.txt</x:v>
      </x:c>
      <x:c r="Q21" s="301" t="str">
        <x:v>URDF &lt;inertial&gt; ready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1" hidden="0" customWidth="1"/>
    <x:col min="15" max="15" width="11" hidden="0" customWidth="1"/>
    <x:col min="16" max="16" width="11" hidden="0" customWidth="1"/>
    <x:col min="17" max="17" width="22" hidden="0" customWidth="1"/>
    <x:col min="18" max="18" width="56" hidden="0" customWidth="1"/>
  </x:cols>
  <x:sheetData>
    <x:row r="1" ht="24" customHeight="1">
      <x:c r="A1" s="289" t="str">
        <x:v>MATDOG — Dati CAD sorgente per proprietà fisiche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</x:row>
    <x:row r="2" ht="36" customHeight="1">
      <x:c r="A2" s="294" t="str">
        <x:v>Trascrizione strutturata dei report Solid Edge ricevuti. I valori di massa per URDF usano la tabella CAD riconciliata; i report per-link visualizzano la massa arrotondata a 0.001 kg.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</x:row>
    <x:row r="4">
      <x:c r="A4" s="305" t="str">
        <x:v>Source report</x:v>
      </x:c>
      <x:c r="B4" s="305" t="str">
        <x:v>Scope</x:v>
      </x:c>
      <x:c r="C4" s="305" t="str">
        <x:v>Mass reported
[kg]</x:v>
      </x:c>
      <x:c r="D4" s="305" t="str">
        <x:v>Mass used
[kg]</x:v>
      </x:c>
      <x:c r="E4" s="305" t="str">
        <x:v>CoM X
[mm]</x:v>
      </x:c>
      <x:c r="F4" s="305" t="str">
        <x:v>CoM Y
[mm]</x:v>
      </x:c>
      <x:c r="G4" s="305" t="str">
        <x:v>CoM Z
[mm]</x:v>
      </x:c>
      <x:c r="H4" s="305" t="str">
        <x:v>Ixx global</x:v>
      </x:c>
      <x:c r="I4" s="305" t="str">
        <x:v>Iyy global</x:v>
      </x:c>
      <x:c r="J4" s="305" t="str">
        <x:v>Izz global</x:v>
      </x:c>
      <x:c r="K4" s="305" t="str">
        <x:v>Ixy product</x:v>
      </x:c>
      <x:c r="L4" s="305" t="str">
        <x:v>Ixz product</x:v>
      </x:c>
      <x:c r="M4" s="305" t="str">
        <x:v>Iyz product</x:v>
      </x:c>
      <x:c r="N4" s="305" t="str">
        <x:v>K1
[mm]</x:v>
      </x:c>
      <x:c r="O4" s="305" t="str">
        <x:v>K2
[mm]</x:v>
      </x:c>
      <x:c r="P4" s="305" t="str">
        <x:v>K3
[mm]</x:v>
      </x:c>
      <x:c r="Q4" s="305" t="str">
        <x:v>Use in REV00</x:v>
      </x:c>
      <x:c r="R4" s="305" t="str">
        <x:v>Notes</x:v>
      </x:c>
    </x:row>
    <x:row r="5">
      <x:c r="A5" s="301" t="str">
        <x:v>physprop__base_link.txt</x:v>
      </x:c>
      <x:c r="B5" s="301" t="str">
        <x:v>base_link</x:v>
      </x:c>
      <x:c r="C5" s="306" t="n">
        <x:v>1.281</x:v>
      </x:c>
      <x:c r="D5" s="306" t="n">
        <x:v>1.282</x:v>
      </x:c>
      <x:c r="E5" s="307" t="n">
        <x:v>5.84</x:v>
      </x:c>
      <x:c r="F5" s="307" t="n">
        <x:v>-0.65</x:v>
      </x:c>
      <x:c r="G5" s="307" t="n">
        <x:v>27.73</x:v>
      </x:c>
      <x:c r="H5" s="303" t="n">
        <x:v>0.246</x:v>
      </x:c>
      <x:c r="I5" s="303" t="n">
        <x:v>0.989</x:v>
      </x:c>
      <x:c r="J5" s="303" t="n">
        <x:v>0.954</x:v>
      </x:c>
      <x:c r="K5" s="303" t="n">
        <x:v>-0.002</x:v>
      </x:c>
      <x:c r="L5" s="303" t="n">
        <x:v>0.065</x:v>
      </x:c>
      <x:c r="M5" s="303" t="n">
        <x:v>-0.002</x:v>
      </x:c>
      <x:c r="N5" s="307" t="n">
        <x:v>86.19</x:v>
      </x:c>
      <x:c r="O5" s="307" t="n">
        <x:v>83.18</x:v>
      </x:c>
      <x:c r="P5" s="307" t="n">
        <x:v>33.61</x:v>
      </x:c>
      <x:c r="Q5" s="301" t="str">
        <x:v>Direct</x:v>
      </x:c>
      <x:c r="R5" s="301" t="str">
        <x:v>Mass used is the CAD-reconciliation value from weight_breakdown_summary.txt.</x:v>
      </x:c>
    </x:row>
    <x:row r="6">
      <x:c r="A6" s="301" t="str">
        <x:v>physprop__lf_hip_link.txt</x:v>
      </x:c>
      <x:c r="B6" s="301" t="str">
        <x:v>lf_hip_link</x:v>
      </x:c>
      <x:c r="C6" s="306" t="n">
        <x:v>0.05</x:v>
      </x:c>
      <x:c r="D6" s="306" t="n">
        <x:v>0.05</x:v>
      </x:c>
      <x:c r="E6" s="307" t="n">
        <x:v>3.66</x:v>
      </x:c>
      <x:c r="F6" s="307" t="n">
        <x:v>29.82</x:v>
      </x:c>
      <x:c r="G6" s="307" t="n">
        <x:v>6.94</x:v>
      </x:c>
      <x:c r="H6" s="303" t="n">
        <x:v>0.009</x:v>
      </x:c>
      <x:c r="I6" s="303" t="n">
        <x:v>0.002</x:v>
      </x:c>
      <x:c r="J6" s="303" t="n">
        <x:v>0.009</x:v>
      </x:c>
      <x:c r="K6" s="303" t="n">
        <x:v>0.001</x:v>
      </x:c>
      <x:c r="L6" s="303" t="n">
        <x:v>0</x:v>
      </x:c>
      <x:c r="M6" s="303" t="n">
        <x:v>0.001</x:v>
      </x:c>
      <x:c r="N6" s="307" t="n">
        <x:v>30.43</x:v>
      </x:c>
      <x:c r="O6" s="307" t="n">
        <x:v>28.35</x:v>
      </x:c>
      <x:c r="P6" s="307" t="n">
        <x:v>19.04</x:v>
      </x:c>
      <x:c r="Q6" s="301" t="str">
        <x:v>Direct LF / symmetry seed</x:v>
      </x:c>
      <x:c r="R6" s="301" t="str">
        <x:v>RF and RH are derived by local Y reflection; LH uses the same left-side local geometry.</x:v>
      </x:c>
    </x:row>
    <x:row r="7">
      <x:c r="A7" s="301" t="str">
        <x:v>physprop__lf_upper_leg_link.txt</x:v>
      </x:c>
      <x:c r="B7" s="301" t="str">
        <x:v>lf_upper_leg_link</x:v>
      </x:c>
      <x:c r="C7" s="306" t="n">
        <x:v>0.172</x:v>
      </x:c>
      <x:c r="D7" s="306" t="n">
        <x:v>0.1725</x:v>
      </x:c>
      <x:c r="E7" s="307" t="n">
        <x:v>1.08</x:v>
      </x:c>
      <x:c r="F7" s="307" t="n">
        <x:v>0.15</x:v>
      </x:c>
      <x:c r="G7" s="307" t="n">
        <x:v>-45.03</x:v>
      </x:c>
      <x:c r="H7" s="303" t="n">
        <x:v>0.055</x:v>
      </x:c>
      <x:c r="I7" s="303" t="n">
        <x:v>0.055</x:v>
      </x:c>
      <x:c r="J7" s="303" t="n">
        <x:v>0.003</x:v>
      </x:c>
      <x:c r="K7" s="303" t="n">
        <x:v>0</x:v>
      </x:c>
      <x:c r="L7" s="303" t="n">
        <x:v>-0.001</x:v>
      </x:c>
      <x:c r="M7" s="303" t="n">
        <x:v>0</x:v>
      </x:c>
      <x:c r="N7" s="307" t="n">
        <x:v>34.51</x:v>
      </x:c>
      <x:c r="O7" s="307" t="n">
        <x:v>33.98</x:v>
      </x:c>
      <x:c r="P7" s="307" t="n">
        <x:v>13.43</x:v>
      </x:c>
      <x:c r="Q7" s="301" t="str">
        <x:v>Direct LF / symmetry seed</x:v>
      </x:c>
      <x:c r="R7" s="301" t="str">
        <x:v>RF and RH are derived by local Y reflection; LH uses the same left-side local geometry.</x:v>
      </x:c>
    </x:row>
    <x:row r="8">
      <x:c r="A8" s="301" t="str">
        <x:v>physprop__lf_lower_leg_link.txt</x:v>
      </x:c>
      <x:c r="B8" s="301" t="str">
        <x:v>lf_lower_leg_link</x:v>
      </x:c>
      <x:c r="C8" s="306" t="n">
        <x:v>0.059</x:v>
      </x:c>
      <x:c r="D8" s="306" t="n">
        <x:v>0.0595</x:v>
      </x:c>
      <x:c r="E8" s="307" t="n">
        <x:v>30.75</x:v>
      </x:c>
      <x:c r="F8" s="307" t="n">
        <x:v>-1.18</x:v>
      </x:c>
      <x:c r="G8" s="307" t="n">
        <x:v>-19.58</x:v>
      </x:c>
      <x:c r="H8" s="303" t="n">
        <x:v>0.004</x:v>
      </x:c>
      <x:c r="I8" s="303" t="n">
        <x:v>0.018</x:v>
      </x:c>
      <x:c r="J8" s="303" t="n">
        <x:v>0.016</x:v>
      </x:c>
      <x:c r="K8" s="303" t="n">
        <x:v>0</x:v>
      </x:c>
      <x:c r="L8" s="303" t="n">
        <x:v>-0.005</x:v>
      </x:c>
      <x:c r="M8" s="303" t="n">
        <x:v>0</x:v>
      </x:c>
      <x:c r="N8" s="307" t="n">
        <x:v>42.53</x:v>
      </x:c>
      <x:c r="O8" s="307" t="n">
        <x:v>41.51</x:v>
      </x:c>
      <x:c r="P8" s="307" t="n">
        <x:v>17.5</x:v>
      </x:c>
      <x:c r="Q8" s="301" t="str">
        <x:v>Direct LF / symmetry seed</x:v>
      </x:c>
      <x:c r="R8" s="301" t="str">
        <x:v>RF and RH are derived by local Y reflection; LH uses the same left-side local geometry.</x:v>
      </x:c>
    </x:row>
    <x:row r="9">
      <x:c r="A9" s="301" t="str">
        <x:v>physprop__lf_foot_link.txt</x:v>
      </x:c>
      <x:c r="B9" s="301" t="str">
        <x:v>lf_foot_link</x:v>
      </x:c>
      <x:c r="C9" s="306" t="n">
        <x:v>0.017</x:v>
      </x:c>
      <x:c r="D9" s="306" t="n">
        <x:v>0.0175</x:v>
      </x:c>
      <x:c r="E9" s="307" t="n">
        <x:v>-0.52</x:v>
      </x:c>
      <x:c r="F9" s="307" t="n">
        <x:v>0</x:v>
      </x:c>
      <x:c r="G9" s="307" t="n">
        <x:v>15.48</x:v>
      </x:c>
      <x:c r="H9" s="303" t="n">
        <x:v>0.001</x:v>
      </x:c>
      <x:c r="I9" s="303" t="n">
        <x:v>0.001</x:v>
      </x:c>
      <x:c r="J9" s="303" t="n">
        <x:v>0</x:v>
      </x:c>
      <x:c r="K9" s="303" t="n">
        <x:v>0</x:v>
      </x:c>
      <x:c r="L9" s="303" t="n">
        <x:v>0</x:v>
      </x:c>
      <x:c r="M9" s="303" t="n">
        <x:v>0</x:v>
      </x:c>
      <x:c r="N9" s="307" t="n">
        <x:v>8.29</x:v>
      </x:c>
      <x:c r="O9" s="307" t="n">
        <x:v>8.15</x:v>
      </x:c>
      <x:c r="P9" s="307" t="n">
        <x:v>8.04</x:v>
      </x:c>
      <x:c r="Q9" s="301" t="str">
        <x:v>Direct LF / identical foot seed</x:v>
      </x:c>
      <x:c r="R9" s="301" t="str">
        <x:v>All four foot links use the identical CAD foot geometry.</x:v>
      </x:c>
    </x:row>
    <x:row r="10">
      <x:c r="A10" s="301" t="str">
        <x:v>physprop__robotdog_assembly.txt</x:v>
      </x:c>
      <x:c r="B10" s="301" t="str">
        <x:v>17-link assembly</x:v>
      </x:c>
      <x:c r="C10" s="306" t="n">
        <x:v>2.48</x:v>
      </x:c>
      <x:c r="D10" s="306" t="n">
        <x:v>2.48</x:v>
      </x:c>
      <x:c r="E10" s="307" t="n">
        <x:v>9.48</x:v>
      </x:c>
      <x:c r="F10" s="307" t="n">
        <x:v>-0.71</x:v>
      </x:c>
      <x:c r="G10" s="307" t="n">
        <x:v>5.91</x:v>
      </x:c>
      <x:c r="H10" s="303" t="n">
        <x:v>0.016</x:v>
      </x:c>
      <x:c r="I10" s="303" t="n">
        <x:v>0.03</x:v>
      </x:c>
      <x:c r="J10" s="303" t="n">
        <x:v>0.037</x:v>
      </x:c>
      <x:c r="K10" s="303" t="n">
        <x:v>0</x:v>
      </x:c>
      <x:c r="L10" s="303" t="n">
        <x:v>0.001</x:v>
      </x:c>
      <x:c r="M10" s="303" t="n">
        <x:v>0</x:v>
      </x:c>
      <x:c r="N10" s="307" t="n">
        <x:v>121.31</x:v>
      </x:c>
      <x:c r="O10" s="307" t="n">
        <x:v>108.92</x:v>
      </x:c>
      <x:c r="P10" s="307" t="n">
        <x:v>80.42</x:v>
      </x:c>
      <x:c r="Q10" s="301" t="str">
        <x:v>Aggregate validation</x:v>
      </x:c>
      <x:c r="R10" s="301" t="str">
        <x:v>User notes that the neck yaw actuator is not represented by this assembly scope; no standalone neck link is added to REV00.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3" hidden="0" customWidth="1"/>
    <x:col min="3" max="3" width="20" hidden="0" customWidth="1"/>
    <x:col min="4" max="4" width="17" hidden="0" customWidth="1"/>
    <x:col min="5" max="5" width="26" hidden="0" customWidth="1"/>
    <x:col min="6" max="6" width="25" hidden="0" customWidth="1"/>
    <x:col min="7" max="7" width="22" hidden="0" customWidth="1"/>
    <x:col min="8" max="8" width="36" hidden="0" customWidth="1"/>
  </x:cols>
  <x:sheetData>
    <x:row r="1" ht="24" customHeight="1">
      <x:c r="A1" s="289" t="str">
        <x:v>MATDOG — Riconciliazione masse REV00</x:v>
      </x:c>
      <x:c r="B1" s="289"/>
      <x:c r="C1" s="289"/>
      <x:c r="D1" s="289"/>
      <x:c r="E1" s="289"/>
      <x:c r="F1" s="289"/>
      <x:c r="G1" s="289"/>
      <x:c r="H1" s="289"/>
    </x:row>
    <x:row r="2" ht="36" customHeight="1">
      <x:c r="A2" s="294" t="str">
        <x:v>Il modello dinamico usa le masse CAD per-link che riconciliano esattamente i 2.480 kg dell’assieme CAD. Il peso calcolato e la misura reale sono conservati come controlli di configurazione, non come scala automatica del tensore d’inerzia.</x:v>
      </x:c>
      <x:c r="B2" s="294"/>
      <x:c r="C2" s="294"/>
      <x:c r="D2" s="294"/>
      <x:c r="E2" s="294"/>
      <x:c r="F2" s="294"/>
      <x:c r="G2" s="294"/>
      <x:c r="H2" s="294"/>
    </x:row>
    <x:row r="4">
      <x:c r="A4" s="300" t="str">
        <x:v>Metric</x:v>
      </x:c>
      <x:c r="B4" s="300" t="str">
        <x:v>Value</x:v>
      </x:c>
    </x:row>
    <x:row r="5">
      <x:c r="A5" s="301" t="str">
        <x:v>URDF dynamic model — CAD mass [kg]</x:v>
      </x:c>
      <x:c r="B5" s="306" t="n">
        <x:v>2.48</x:v>
      </x:c>
    </x:row>
    <x:row r="6">
      <x:c r="A6" s="301" t="str">
        <x:v>CAD full assembly report [kg]</x:v>
      </x:c>
      <x:c r="B6" s="306" t="n">
        <x:v>2.48</x:v>
      </x:c>
    </x:row>
    <x:row r="7">
      <x:c r="A7" s="301" t="str">
        <x:v>Difference model vs full CAD [kg]</x:v>
      </x:c>
      <x:c r="B7" s="306" t="n">
        <x:f>B5-B6</x:f>
        <x:v>0</x:v>
      </x:c>
    </x:row>
    <x:row r="8">
      <x:c r="A8" s="301" t="str">
        <x:v>Weight-breakdown calculated [kg]</x:v>
      </x:c>
      <x:c r="B8" s="306" t="n">
        <x:v>2.3894</x:v>
      </x:c>
    </x:row>
    <x:row r="9">
      <x:c r="A9" s="301" t="str">
        <x:v>Physical robot measured [kg]</x:v>
      </x:c>
      <x:c r="B9" s="306" t="n">
        <x:v>2.297</x:v>
      </x:c>
    </x:row>
    <x:row r="10">
      <x:c r="A10" s="301" t="str">
        <x:v>CAD model − measured robot [kg]</x:v>
      </x:c>
      <x:c r="B10" s="306" t="n">
        <x:f>B5-B9</x:f>
        <x:v>0.18299999999999983</x:v>
      </x:c>
    </x:row>
    <x:row r="11">
      <x:c r="A11" s="301" t="str">
        <x:v>CAD model − measured robot [%]</x:v>
      </x:c>
      <x:c r="B11" s="308" t="n">
        <x:f>(B5-B9)/B5</x:f>
        <x:v>0.07379032258064509</x:v>
      </x:c>
    </x:row>
    <x:row r="12">
      <x:c r="A12" s="301" t="str">
        <x:v>Neck yaw actuator [kg]</x:v>
      </x:c>
      <x:c r="B12" s="306" t="n">
        <x:v>0.061</x:v>
      </x:c>
    </x:row>
    <x:row r="13">
      <x:c r="A13" s="310" t="str">
        <x:v>Neck yaw actuator in REV00 17-link URDF</x:v>
      </x:c>
      <x:c r="B13" s="310" t="str">
        <x:v>No standalone link; not added without a dedicated mounted-frame CAD report.</x:v>
      </x:c>
    </x:row>
    <x:row r="16">
      <x:c r="A16" s="300" t="str">
        <x:v>Link family</x:v>
      </x:c>
      <x:c r="B16" s="300" t="str">
        <x:v>Quantity</x:v>
      </x:c>
      <x:c r="C16" s="300" t="str">
        <x:v>CAD mass / unit [kg]</x:v>
      </x:c>
      <x:c r="D16" s="300" t="str">
        <x:v>CAD group [kg]</x:v>
      </x:c>
      <x:c r="E16" s="300" t="str">
        <x:v>Weight breakdown / unit [kg]</x:v>
      </x:c>
      <x:c r="F16" s="300" t="str">
        <x:v>Weight breakdown group [kg]</x:v>
      </x:c>
      <x:c r="G16" s="300" t="str">
        <x:v>CAD − breakdown [kg]</x:v>
      </x:c>
      <x:c r="H16" s="300" t="str">
        <x:v>Status</x:v>
      </x:c>
    </x:row>
    <x:row r="17">
      <x:c r="A17" s="301" t="str">
        <x:v>base_link</x:v>
      </x:c>
      <x:c r="B17" s="301" t="n">
        <x:v>1</x:v>
      </x:c>
      <x:c r="C17" s="306" t="n">
        <x:v>1.282</x:v>
      </x:c>
      <x:c r="D17" s="306" t="n">
        <x:f>B17*C17</x:f>
        <x:v>1.282</x:v>
      </x:c>
      <x:c r="E17" s="306" t="n">
        <x:v>1.237</x:v>
      </x:c>
      <x:c r="F17" s="306" t="n">
        <x:f>B17*E17</x:f>
        <x:v>1.237</x:v>
      </x:c>
      <x:c r="G17" s="306" t="n">
        <x:f>D17-F17</x:f>
        <x:v>0.04499999999999993</x:v>
      </x:c>
      <x:c r="H17" s="301" t="str">
        <x:v>CAD direct</x:v>
      </x:c>
    </x:row>
    <x:row r="18">
      <x:c r="A18" s="301" t="str">
        <x:v>hip_link</x:v>
      </x:c>
      <x:c r="B18" s="301" t="n">
        <x:v>4</x:v>
      </x:c>
      <x:c r="C18" s="306" t="n">
        <x:v>0.05</x:v>
      </x:c>
      <x:c r="D18" s="306" t="n">
        <x:f>B18*C18</x:f>
        <x:v>0.2</x:v>
      </x:c>
      <x:c r="E18" s="306" t="n">
        <x:v>0.0506</x:v>
      </x:c>
      <x:c r="F18" s="306" t="n">
        <x:f>B18*E18</x:f>
        <x:v>0.2024</x:v>
      </x:c>
      <x:c r="G18" s="306" t="n">
        <x:f>D18-F18</x:f>
        <x:v>-0.0023999999999999855</x:v>
      </x:c>
      <x:c r="H18" s="301" t="str">
        <x:v>CAD direct / link CAD report</x:v>
      </x:c>
    </x:row>
    <x:row r="19">
      <x:c r="A19" s="301" t="str">
        <x:v>upper_leg_link</x:v>
      </x:c>
      <x:c r="B19" s="301" t="n">
        <x:v>4</x:v>
      </x:c>
      <x:c r="C19" s="306" t="n">
        <x:v>0.1725</x:v>
      </x:c>
      <x:c r="D19" s="306" t="n">
        <x:f>B19*C19</x:f>
        <x:v>0.69</x:v>
      </x:c>
      <x:c r="E19" s="306" t="n">
        <x:v>0.1597</x:v>
      </x:c>
      <x:c r="F19" s="306" t="n">
        <x:f>B19*E19</x:f>
        <x:v>0.6388</x:v>
      </x:c>
      <x:c r="G19" s="306" t="n">
        <x:f>D19-F19</x:f>
        <x:v>0.05119999999999991</x:v>
      </x:c>
      <x:c r="H19" s="301" t="str">
        <x:v>CAD direct / link CAD report</x:v>
      </x:c>
    </x:row>
    <x:row r="20">
      <x:c r="A20" s="301" t="str">
        <x:v>lower_leg_link</x:v>
      </x:c>
      <x:c r="B20" s="301" t="n">
        <x:v>4</x:v>
      </x:c>
      <x:c r="C20" s="306" t="n">
        <x:v>0.0595</x:v>
      </x:c>
      <x:c r="D20" s="306" t="n">
        <x:f>B20*C20</x:f>
        <x:v>0.238</x:v>
      </x:c>
      <x:c r="E20" s="306" t="n">
        <x:v>0.0628</x:v>
      </x:c>
      <x:c r="F20" s="306" t="n">
        <x:f>B20*E20</x:f>
        <x:v>0.2512</x:v>
      </x:c>
      <x:c r="G20" s="306" t="n">
        <x:f>D20-F20</x:f>
        <x:v>-0.01319999999999999</x:v>
      </x:c>
      <x:c r="H20" s="301" t="str">
        <x:v>CAD direct / link CAD report</x:v>
      </x:c>
    </x:row>
    <x:row r="21">
      <x:c r="A21" s="301" t="str">
        <x:v>foot_link</x:v>
      </x:c>
      <x:c r="B21" s="301" t="n">
        <x:v>4</x:v>
      </x:c>
      <x:c r="C21" s="306" t="n">
        <x:v>0.0175</x:v>
      </x:c>
      <x:c r="D21" s="306" t="n">
        <x:f>B21*C21</x:f>
        <x:v>0.07</x:v>
      </x:c>
      <x:c r="E21" s="306" t="n">
        <x:v>0.015</x:v>
      </x:c>
      <x:c r="F21" s="306" t="n">
        <x:f>B21*E21</x:f>
        <x:v>0.06</x:v>
      </x:c>
      <x:c r="G21" s="306" t="n">
        <x:f>D21-F21</x:f>
        <x:v>0.010000000000000009</x:v>
      </x:c>
      <x:c r="H21" s="301" t="str">
        <x:v>CAD direct / link CAD report</x:v>
      </x:c>
    </x:row>
    <x:row r="22">
      <x:c r="A22" s="317" t="str">
        <x:v>TOTAL</x:v>
      </x:c>
      <x:c r="B22" s="317"/>
      <x:c r="C22" s="318"/>
      <x:c r="D22" s="318" t="n">
        <x:f>SUM(D17:D21)</x:f>
        <x:v>2.4799999999999995</x:v>
      </x:c>
      <x:c r="E22" s="318"/>
      <x:c r="F22" s="318" t="n">
        <x:f>SUM(F17:F21)</x:f>
        <x:v>2.3893999999999997</x:v>
      </x:c>
      <x:c r="G22" s="318" t="n">
        <x:f>D22-F22</x:f>
        <x:v>0.09059999999999979</x:v>
      </x:c>
      <x:c r="H22" s="317" t="str">
        <x:v>Reconciled</x:v>
      </x:c>
    </x:row>
    <x:row r="24">
      <x:c r="A24" s="322" t="str">
        <x:v>Interpretation: the 2.480 kg URDF baseline is internally CAD-consistent. The 2.297 kg physical weighing differs by 0.183 kg; the supplied inputs do not allocate that difference link by link, so no global inertia scaling has been applied. Create a separate configuration only after weighing the installed hardware with an explicit component inventory.</x:v>
      </x:c>
      <x:c r="B24" s="322"/>
      <x:c r="C24" s="322"/>
      <x:c r="D24" s="322"/>
      <x:c r="E24" s="322"/>
      <x:c r="F24" s="322"/>
      <x:c r="G24" s="322"/>
      <x:c r="H24" s="322"/>
    </x:row>
    <x:row r="25">
      <x:c r="A25" s="322"/>
      <x:c r="B25" s="322"/>
      <x:c r="C25" s="322"/>
      <x:c r="D25" s="322"/>
      <x:c r="E25" s="322"/>
      <x:c r="F25" s="322"/>
      <x:c r="G25" s="322"/>
      <x:c r="H25" s="322"/>
    </x:row>
  </x:sheetData>
  <x:mergeCells>
    <x:mergeCell ref="A1:H1"/>
    <x:mergeCell ref="A2:H2"/>
    <x:mergeCell ref="A24:H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 ht="24" customHeight="1">
      <x:c r="A1" s="289" t="str">
        <x:v>MATDOG — Metodo di conversione CAD → URDF &lt;inertial&gt;</x:v>
      </x:c>
      <x:c r="B1" s="289"/>
      <x:c r="C1" s="289"/>
    </x:row>
    <x:row r="2" ht="36" customHeight="1">
      <x:c r="A2" s="294" t="str">
        <x:v>Questa pagina descrive il metodo ripetibile usato per trasformare i report Solid Edge nei campi standard URDF, senza introdurre inerzie fittizie.</x:v>
      </x:c>
      <x:c r="B2" s="294"/>
      <x:c r="C2" s="294"/>
    </x:row>
    <x:row r="4">
      <x:c r="A4" s="300" t="str">
        <x:v>Step</x:v>
      </x:c>
      <x:c r="B4" s="300" t="str">
        <x:v>Engineering decision</x:v>
      </x:c>
    </x:row>
    <x:row r="5">
      <x:c r="A5" s="317" t="str">
        <x:v>1. Data scope</x:v>
      </x:c>
      <x:c r="B5" s="301" t="str">
        <x:v>Base link and LF subassemblies were exported from Solid Edge. The CAD report prints CoM coordinates, principal-axis directions and radii of gyration. The full robot assembly report is used only as an aggregate validation.</x:v>
      </x:c>
    </x:row>
    <x:row r="6">
      <x:c r="A6" s="317" t="str">
        <x:v>2. Mass source</x:v>
      </x:c>
      <x:c r="B6" s="301" t="str">
        <x:v>URDF masses use the higher-precision CAD values from weight_breakdown_summary.txt: base 1.282 kg, hip 0.050 kg, upper 0.1725 kg, lower 0.0595 kg and foot 0.0175 kg. These sum to 2.480 kg.</x:v>
      </x:c>
    </x:row>
    <x:row r="7">
      <x:c r="A7" s="317" t="str">
        <x:v>3. CoM source</x:v>
      </x:c>
      <x:c r="B7" s="301" t="str">
        <x:v>Each direct CAD report provides the link CoM in millimetres. The values are converted to metres and used as &lt;inertial&gt;&lt;origin xyz=...&gt;.</x:v>
      </x:c>
    </x:row>
    <x:row r="8">
      <x:c r="A8" s="317" t="str">
        <x:v>4. Inertia construction</x:v>
      </x:c>
      <x:c r="B8" s="301" t="str">
        <x:v>The direct global-origin inertia entries are rounded in the text exports. To avoid parallel-axis rounding loss, the final inertia tensor is reconstructed at the CoM from principal axes and radii of gyration: I_C = Rᵀ diag(m·K₁², m·K₂², m·K₃²) R.</x:v>
      </x:c>
    </x:row>
    <x:row r="9">
      <x:c r="A9" s="317" t="str">
        <x:v>5. Axis cleanup</x:v>
      </x:c>
      <x:c r="B9" s="301" t="str">
        <x:v>The exported principal-axis vectors are rounded to three decimals. Each 3×3 direction-cosine matrix is orthonormalized to the nearest right-handed rotation before tensor reconstruction.</x:v>
      </x:c>
    </x:row>
    <x:row r="10">
      <x:c r="A10" s="317" t="str">
        <x:v>6. Right-side derivation</x:v>
      </x:c>
      <x:c r="B10" s="301" t="str">
        <x:v>RF and RH hip/upper/lower properties are produced by local Y reflection: M = diag(1, −1, 1); CoM' = M·CoM and I' = M·I·Mᵀ.</x:v>
      </x:c>
    </x:row>
    <x:row r="11">
      <x:c r="A11" s="317" t="str">
        <x:v>7. Rear / foot derivation</x:v>
      </x:c>
      <x:c r="B11" s="301" t="str">
        <x:v>LH uses the same left-side local geometry as LF. The CAD foot geometry is identical for all four legs; the LF foot tensor is reused. The aggregate assembly check validates these substitutions.</x:v>
      </x:c>
    </x:row>
    <x:row r="12">
      <x:c r="A12" s="317" t="str">
        <x:v>8. Aggregate validation</x:v>
      </x:c>
      <x:c r="B12" s="301" t="str">
        <x:v>Rebuilt 17-link model: 2.480 kg, CoM = [9.571, −0.336, 5.970] mm. CAD assembly: 2.480 kg, CoM = [9.480, −0.710, 5.910] mm. Largest CoM deviation is 0.374 mm.</x:v>
      </x:c>
    </x:row>
    <x:row r="13">
      <x:c r="A13" s="317" t="str">
        <x:v>9. Product-of-inertia convention</x:v>
      </x:c>
      <x:c r="B13" s="301" t="str">
        <x:v>Solid Edge lists products of inertia. URDF &lt;inertia&gt; uses tensor off-diagonal entries; the assembly principal-axis check validates the sign used in the reconstructed tensor. The final values stored in Inertial_Properties are the actual tensor entries.</x:v>
      </x:c>
    </x:row>
    <x:row r="14">
      <x:c r="A14" s="317" t="str">
        <x:v>10. Neck yaw actuator</x:v>
      </x:c>
      <x:c r="B14" s="301" t="str">
        <x:v>The provided assembly-scope note says the neck yaw actuator is not included as a standalone modeled component. REV00 remains 17 links and does not add an unlocated 0.061 kg mass. Add it only after exporting its mounted CAD subassembly or creating a fixed neck link.</x:v>
      </x:c>
    </x:row>
    <x:row r="15">
      <x:c r="A15" s="317" t="str">
        <x:v>11. Simulation scope</x:v>
      </x:c>
      <x:c r="B15" s="301" t="str">
        <x:v>The resulting URDF is suitable for future rigid-body simulation of the 17-link CAD configuration. Current external-power/no-battery hardware should be represented by a separate configuration rather than modifying this CAD baseline ad hoc.</x:v>
      </x:c>
    </x:row>
  </x:sheetData>
  <x:mergeCells>
    <x:mergeCell ref="A1:C1"/>
    <x:mergeCell ref="A2:C2"/>
  </x:mergeCells>
  <x:pageMargins left="0.7" right="0.7" top="0.75" bottom="0.75" header="0.3" footer="0.3"/>
</x:worksheet>
</file>