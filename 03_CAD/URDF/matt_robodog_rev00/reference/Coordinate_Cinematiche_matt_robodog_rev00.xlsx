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de15d67dad41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int_Parameters" sheetId="1" r:id="R17117f0308514131"/>
    <x:sheet xmlns:r="http://schemas.openxmlformats.org/officeDocument/2006/relationships" name="Mesh_Transforms" sheetId="2" r:id="R8f9d7fc1e4104cc4"/>
    <x:sheet xmlns:r="http://schemas.openxmlformats.org/officeDocument/2006/relationships" name="Reference_Notes" sheetId="3" r:id="R08f3f5507a8d421a"/>
    <x:sheet xmlns:r="http://schemas.openxmlformats.org/officeDocument/2006/relationships" name="Link_Engineering" sheetId="4" r:id="R1bd136d64b484fc8"/>
    <x:sheet xmlns:r="http://schemas.openxmlformats.org/officeDocument/2006/relationships" name="Mass_Summary" sheetId="5" r:id="R01b5bfde62b3429e"/>
    <x:sheet xmlns:r="http://schemas.openxmlformats.org/officeDocument/2006/relationships" name="Engineering_Weight_Source" sheetId="6" r:id="R47e07315701e4e75"/>
    <x:sheet xmlns:r="http://schemas.openxmlformats.org/officeDocument/2006/relationships" name="URDF_Audit" sheetId="7" r:id="Rf3337a77e49544ce"/>
    <x:sheet xmlns:r="http://schemas.openxmlformats.org/officeDocument/2006/relationships" name="Inertial_Properties" sheetId="8" r:id="R50c7af26ae824333"/>
    <x:sheet xmlns:r="http://schemas.openxmlformats.org/officeDocument/2006/relationships" name="CAD_Source_Data" sheetId="9" r:id="R3df41296733f4968"/>
    <x:sheet xmlns:r="http://schemas.openxmlformats.org/officeDocument/2006/relationships" name="Mass_Reconciliation" sheetId="10" r:id="R00897d6d28824d0d"/>
    <x:sheet xmlns:r="http://schemas.openxmlformats.org/officeDocument/2006/relationships" name="Physical_Property_Method" sheetId="11" r:id="Rada7cf4125ca4620"/>
    <x:sheet xmlns:ns0="http://schemas.openxmlformats.org/officeDocument/2006/relationships" name="Weight_Evidence_2026-10-30" sheetId="12" ns0:id="Rnew12"/>
    <x:sheet xmlns:ns1="http://schemas.openxmlformats.org/officeDocument/2006/relationships" name="Physical_Evidence_Log" sheetId="13" ns1:id="Rnew13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"/>
    <x:numFmt numFmtId="201" formatCode="0.0000"/>
    <x:numFmt numFmtId="202" formatCode="0.000000"/>
    <x:numFmt numFmtId="203" formatCode="0.000000000000000"/>
    <x:numFmt numFmtId="204" formatCode="0.0000000000"/>
    <x:numFmt numFmtId="205" formatCode="0.00"/>
    <x:numFmt numFmtId="206" formatCode="0.0%"/>
  </x:numFmts>
  <x:fonts count="21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63A5F"/>
      <x:name val="Carlito"/>
    </x:font>
    <x:font>
      <x:sz val="10"/>
      <x:color rgb="FF1F2937"/>
      <x:name val="Carlito"/>
    </x:font>
    <x:font>
      <x:b/>
      <x:sz val="10"/>
      <x:color rgb="FF163A5F"/>
      <x:name val="Carlito"/>
    </x:font>
    <x:font>
      <x:b/>
      <x:sz val="10"/>
      <x:color rgb="FF166534"/>
      <x:name val="Carlito"/>
    </x:font>
    <x:font>
      <x:b/>
      <x:sz val="10"/>
      <x:color rgb="FFFFFFFF"/>
      <x:name val="Carlito"/>
    </x:font>
    <x:font>
      <x:b/>
      <x:i/>
      <x:sz val="10"/>
      <x:color rgb="FF475569"/>
      <x:name val="Carlito"/>
    </x:font>
    <x:font>
      <x:i/>
      <x:sz val="10"/>
      <x:color rgb="FF475569"/>
      <x:name val="Carlito"/>
    </x:font>
    <x:font>
      <x:b/>
      <x:sz val="10"/>
      <x:color rgb="FF1F293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2C5C7C"/>
      <x:name val="Carlito"/>
    </x:font>
    <x:font>
      <x:i/>
      <x:sz val="10"/>
      <x:color rgb="FF7A4A00"/>
      <x:name val="Carlito"/>
    </x:font>
    <x:font>
      <x:b/>
      <x:sz val="11"/>
      <x:color rgb="FF173F64"/>
      <x:name val="Carlito"/>
    </x:font>
    <x:font>
      <x:i/>
      <x:sz val="11"/>
      <x:color rgb="FF1F2937"/>
      <x:name val="Carlito"/>
    </x:font>
    <x:font>
      <x:i/>
      <x:sz val="10"/>
      <x:color rgb="FF1F1F1F"/>
      <x:name val="Carlito"/>
    </x:font>
    <x:font>
      <x:sz val="11"/>
      <x:color rgb="FF9C0006"/>
      <x:name val="Carlito"/>
    </x:font>
    <x:font>
      <x:b/>
      <x:sz val="11"/>
      <x:color rgb="FF1F1F1F"/>
      <x:name val="Carlito"/>
    </x:font>
    <x:font>
      <x:sz val="11"/>
      <x:color rgb="FF7F6000"/>
      <x:name val="Carlito"/>
    </x:font>
    <x:font>
      <x:b/>
      <x:sz val="11"/>
      <x:color rgb="FF006100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AF3F8"/>
      </x:patternFill>
    </x:fill>
    <x:fill>
      <x:patternFill patternType="solid">
        <x:fgColor rgb="FFE7F6F4"/>
      </x:patternFill>
    </x:fill>
    <x:fill>
      <x:patternFill patternType="solid">
        <x:fgColor rgb="FFDCFCE7"/>
      </x:patternFill>
    </x:fill>
    <x:fill>
      <x:patternFill patternType="solid">
        <x:fgColor rgb="FF1F6E9C"/>
      </x:patternFill>
    </x:fill>
    <x:fill>
      <x:patternFill patternType="solid">
        <x:fgColor rgb="FFF1F5F9"/>
      </x:patternFill>
    </x:fill>
    <x:fill>
      <x:patternFill patternType="solid">
        <x:fgColor rgb="FFF3F4F6"/>
      </x:patternFill>
    </x:fill>
    <x:fill>
      <x:patternFill patternType="solid">
        <x:fgColor rgb="FFFFF7ED"/>
      </x:patternFill>
    </x:fill>
    <x:fill>
      <x:patternFill patternType="solid">
        <x:fgColor rgb="FFD97706"/>
      </x:patternFill>
    </x:fill>
    <x:fill>
      <x:patternFill patternType="solid">
        <x:fgColor rgb="FF173F64"/>
      </x:patternFill>
    </x:fill>
    <x:fill>
      <x:patternFill patternType="solid">
        <x:fgColor rgb="FFEAF3F8"/>
      </x:patternFill>
    </x:fill>
    <x:fill>
      <x:patternFill patternType="solid">
        <x:fgColor rgb="FF2C7FB0"/>
      </x:patternFill>
    </x:fill>
    <x:fill>
      <x:patternFill patternType="solid">
        <x:fgColor rgb="FFFFF7E6"/>
      </x:patternFill>
    </x:fill>
    <x:fill>
      <x:patternFill patternType="solid">
        <x:fgColor rgb="FFD7ECF6"/>
      </x:patternFill>
    </x:fill>
    <x:fill>
      <x:patternFill patternType="solid">
        <x:fgColor rgb="FFEEF6FB"/>
      </x:patternFill>
    </x:fill>
    <x:fill>
      <x:patternFill patternType="solid">
        <x:fgColor rgb="FFFFF4E5"/>
      </x:patternFill>
    </x:fill>
    <x:fill>
      <x:patternFill patternType="solid">
        <x:fgColor rgb="FFF4F7FA"/>
      </x:patternFill>
    </x:fill>
    <x:fill>
      <x:patternFill patternType="solid">
        <x:fgColor rgb="FFE7F6EF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0"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40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3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vertic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3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vertic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3" fillId="8" borderId="1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horizontal="center" vertical="center"/>
    </x:xf>
    <x:xf numFmtId="0" fontId="8" fillId="8" borderId="1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1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horizontal="center" vertical="center"/>
    </x:xf>
    <x:xf numFmtId="200" fontId="3" fillId="0" borderId="0" xfId="0" applyNumberFormat="1" applyFont="1" applyFill="1" applyBorder="1" applyAlignment="1">
      <x:alignment vertical="center"/>
    </x:xf>
    <x:xf numFmtId="200" fontId="8" fillId="8" borderId="0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0" fontId="8" fillId="8" borderId="1" xfId="0" applyNumberFormat="1" applyFont="1" applyFill="1" applyBorder="1" applyAlignment="1">
      <x:alignment vertical="center"/>
    </x:xf>
    <x:xf numFmtId="200" fontId="3" fillId="9" borderId="0" xfId="0" applyNumberFormat="1" applyFont="1" applyFill="1" applyBorder="1" applyAlignment="1">
      <x:alignment horizontal="center" vertical="center"/>
    </x:xf>
    <x:xf numFmtId="200" fontId="3" fillId="9" borderId="1" xfId="0" applyNumberFormat="1" applyFont="1" applyFill="1" applyBorder="1" applyAlignment="1">
      <x:alignment horizontal="center" vertical="center"/>
    </x:xf>
    <x:xf numFmtId="201" fontId="3" fillId="0" borderId="0" xfId="0" applyNumberFormat="1" applyFont="1" applyFill="1" applyBorder="1" applyAlignment="1">
      <x:alignment vertical="center"/>
    </x:xf>
    <x:xf numFmtId="201" fontId="3" fillId="9" borderId="0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1" fontId="3" fillId="9" borderId="1" xfId="0" applyNumberFormat="1" applyFont="1" applyFill="1" applyBorder="1" applyAlignment="1">
      <x:alignment horizontal="center" vertical="center"/>
    </x:xf>
    <x:xf numFmtId="201" fontId="8" fillId="8" borderId="1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horizontal="center" vertical="center"/>
    </x:xf>
    <x:xf numFmtId="202" fontId="8" fillId="8" borderId="0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2" fontId="3" fillId="9" borderId="1" xfId="0" applyNumberFormat="1" applyFont="1" applyFill="1" applyBorder="1" applyAlignment="1">
      <x:alignment horizontal="center" vertical="center"/>
    </x:xf>
    <x:xf numFmtId="202" fontId="8" fillId="8" borderId="1" xfId="0" applyNumberFormat="1" applyFont="1" applyFill="1" applyBorder="1" applyAlignment="1">
      <x:alignment vertical="center"/>
    </x:xf>
    <x:xf numFmtId="0" fontId="9" fillId="9" borderId="0" xfId="0" applyNumberFormat="1" applyFont="1" applyFill="1" applyBorder="1" applyAlignment="1">
      <x:alignment vertical="center"/>
    </x:xf>
    <x:xf numFmtId="0" fontId="9" fillId="9" borderId="1" xfId="0" applyNumberFormat="1" applyFont="1" applyFill="1" applyBorder="1" applyAlignment="1">
      <x:alignment vertical="center"/>
    </x:xf>
    <x:xf numFmtId="201" fontId="9" fillId="9" borderId="0" xfId="0" applyNumberFormat="1" applyFont="1" applyFill="1" applyBorder="1" applyAlignment="1">
      <x:alignment vertical="center"/>
    </x:xf>
    <x:xf numFmtId="201" fontId="9" fillId="9" borderId="1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left"/>
    </x:xf>
    <x:xf numFmtId="0" fontId="4" fillId="4" borderId="1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/>
    <x:xf numFmtId="0" fontId="10" fillId="6" borderId="0" xfId="0" applyNumberFormat="1" applyFont="1" applyFill="1" applyBorder="1" applyAlignment="1">
      <x:alignment horizontal="left"/>
    </x:xf>
    <x:xf numFmtId="0" fontId="10" fillId="6" borderId="0" xfId="0" applyNumberFormat="1" applyFont="1" applyFill="1" applyBorder="1" applyAlignment="1">
      <x:alignment horizontal="left" vertical="center"/>
    </x:xf>
    <x:xf numFmtId="0" fontId="10" fillId="6" borderId="1" xfId="0" applyNumberFormat="1" applyFont="1" applyFill="1" applyBorder="1"/>
    <x:xf numFmtId="0" fontId="10" fillId="6" borderId="1" xfId="0" applyNumberFormat="1" applyFont="1" applyFill="1" applyBorder="1" applyAlignment="1">
      <x:alignment horizontal="left"/>
    </x:xf>
    <x:xf numFmtId="0" fontId="10" fillId="6" borderId="1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left"/>
    </x:xf>
    <x:xf numFmtId="0" fontId="10" fillId="10" borderId="0" xfId="0" applyNumberFormat="1" applyFont="1" applyFill="1" applyBorder="1" applyAlignment="1">
      <x:alignment horizontal="left" vertical="center"/>
    </x:xf>
    <x:xf numFmtId="0" fontId="0" fillId="10" borderId="1" xfId="0" applyNumberFormat="1" applyFont="1" applyFill="1" applyBorder="1"/>
    <x:xf numFmtId="0" fontId="10" fillId="10" borderId="1" xfId="0" applyNumberFormat="1" applyFont="1" applyFill="1" applyBorder="1"/>
    <x:xf numFmtId="0" fontId="10" fillId="10" borderId="1" xfId="0" applyNumberFormat="1" applyFont="1" applyFill="1" applyBorder="1" applyAlignment="1">
      <x:alignment horizontal="left"/>
    </x:xf>
    <x:xf numFmtId="0" fontId="10" fillId="10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9" borderId="1" xfId="0" applyNumberFormat="1" applyFont="1" applyFill="1" applyBorder="1"/>
    <x:xf numFmtId="0" fontId="9" fillId="9" borderId="1" xfId="0" applyNumberFormat="1" applyFont="1" applyFill="1" applyBorder="1"/>
    <x:xf numFmtId="0" fontId="0" fillId="0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 vertic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0" fontId="2" fillId="12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left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6" fillId="13" borderId="0" xfId="0" applyNumberFormat="1" applyFont="1" applyFill="1" applyBorder="1" applyAlignment="1">
      <x:alignment horizontal="center" wrapText="1"/>
    </x:xf>
    <x:xf numFmtId="0" fontId="6" fillId="1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13" borderId="2" xfId="0" applyNumberFormat="1" applyFont="1" applyFill="1" applyBorder="1" applyAlignment="1">
      <x:alignment horizontal="center" vertical="center" wrapText="1"/>
    </x:xf>
    <x:xf numFmtId="0" fontId="6" fillId="13" borderId="3" xfId="0" applyNumberFormat="1" applyFont="1" applyFill="1" applyBorder="1" applyAlignment="1">
      <x:alignment horizontal="center" vertical="center" wrapText="1"/>
    </x:xf>
    <x:xf numFmtId="0" fontId="6" fillId="13" borderId="4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 applyAlignment="1">
      <x:alignment wrapText="1"/>
    </x:xf>
    <x:xf numFmtId="201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 wrapText="1"/>
    </x:xf>
    <x:xf numFmtId="201" fontId="0" fillId="0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0" fontId="0" fillId="0" borderId="7" xfId="0" applyNumberFormat="1" applyFont="1" applyFill="1" applyBorder="1" applyAlignment="1">
      <x:alignment vertical="center" wrapText="1"/>
    </x:xf>
    <x:xf numFmtId="201" fontId="0" fillId="0" borderId="8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13" fillId="14" borderId="0" xfId="0" applyNumberFormat="1" applyFont="1" applyFill="1" applyBorder="1"/>
    <x:xf numFmtId="0" fontId="13" fillId="14" borderId="0" xfId="0" applyNumberFormat="1" applyFont="1" applyFill="1" applyBorder="1" applyAlignment="1">
      <x:alignment wrapText="1"/>
    </x:xf>
    <x:xf numFmtId="0" fontId="13" fillId="14" borderId="2" xfId="0" applyNumberFormat="1" applyFont="1" applyFill="1" applyBorder="1" applyAlignment="1">
      <x:alignment wrapText="1"/>
    </x:xf>
    <x:xf numFmtId="0" fontId="13" fillId="14" borderId="3" xfId="0" applyNumberFormat="1" applyFont="1" applyFill="1" applyBorder="1" applyAlignment="1">
      <x:alignment wrapText="1"/>
    </x:xf>
    <x:xf numFmtId="0" fontId="13" fillId="14" borderId="4" xfId="0" applyNumberFormat="1" applyFont="1" applyFill="1" applyBorder="1" applyAlignment="1">
      <x:alignment wrapText="1"/>
    </x:xf>
    <x:xf numFmtId="0" fontId="13" fillId="14" borderId="7" xfId="0" applyNumberFormat="1" applyFont="1" applyFill="1" applyBorder="1" applyAlignment="1">
      <x:alignment wrapText="1"/>
    </x:xf>
    <x:xf numFmtId="0" fontId="13" fillId="14" borderId="8" xfId="0" applyNumberFormat="1" applyFont="1" applyFill="1" applyBorder="1" applyAlignment="1">
      <x:alignment wrapText="1"/>
    </x:xf>
    <x:xf numFmtId="0" fontId="13" fillId="14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201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xfId="0" applyNumberFormat="1" applyFont="1" applyFill="1" applyBorder="0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15" borderId="5" xfId="0" applyNumberFormat="1" applyFont="1" applyFill="1" applyBorder="1" applyAlignment="1">
      <x:alignment vertical="center" wrapText="1"/>
    </x:xf>
    <x:xf numFmtId="0" fontId="0" fillId="15" xfId="0" applyNumberFormat="1" applyFont="1" applyFill="1" applyBorder="0" applyAlignment="1">
      <x:alignment vertical="center" wrapText="1"/>
    </x:xf>
    <x:xf numFmtId="200" fontId="0" fillId="15" xfId="0" applyNumberFormat="1" applyFont="1" applyFill="1" applyBorder="0" applyAlignment="1">
      <x:alignment vertical="center" wrapText="1"/>
    </x:xf>
    <x:xf numFmtId="201" fontId="0" fillId="15" xfId="0" applyNumberFormat="1" applyFont="1" applyFill="1" applyBorder="0" applyAlignment="1">
      <x:alignment vertical="center" wrapText="1"/>
    </x:xf>
    <x:xf numFmtId="0" fontId="0" fillId="15" borderId="6" xfId="0" applyNumberFormat="1" applyFont="1" applyFill="1" applyBorder="1" applyAlignment="1">
      <x:alignment vertical="center" wrapText="1"/>
    </x:xf>
    <x:xf numFmtId="0" fontId="0" fillId="16" borderId="5" xfId="0" applyNumberFormat="1" applyFont="1" applyFill="1" applyBorder="1" applyAlignment="1">
      <x:alignment vertical="center" wrapText="1"/>
    </x:xf>
    <x:xf numFmtId="0" fontId="0" fillId="16" xfId="0" applyNumberFormat="1" applyFont="1" applyFill="1" applyBorder="0" applyAlignment="1">
      <x:alignment vertical="center" wrapText="1"/>
    </x:xf>
    <x:xf numFmtId="200" fontId="0" fillId="16" xfId="0" applyNumberFormat="1" applyFont="1" applyFill="1" applyBorder="0" applyAlignment="1">
      <x:alignment vertical="center" wrapText="1"/>
    </x:xf>
    <x:xf numFmtId="201" fontId="0" fillId="16" xfId="0" applyNumberFormat="1" applyFont="1" applyFill="1" applyBorder="0" applyAlignment="1">
      <x:alignment vertical="center" wrapText="1"/>
    </x:xf>
    <x:xf numFmtId="0" fontId="0" fillId="16" borderId="6" xfId="0" applyNumberFormat="1" applyFont="1" applyFill="1" applyBorder="1" applyAlignment="1">
      <x:alignment vertical="center" wrapText="1"/>
    </x:xf>
    <x:xf numFmtId="0" fontId="0" fillId="17" borderId="5" xfId="0" applyNumberFormat="1" applyFont="1" applyFill="1" applyBorder="1" applyAlignment="1">
      <x:alignment vertical="center" wrapText="1"/>
    </x:xf>
    <x:xf numFmtId="0" fontId="0" fillId="17" xfId="0" applyNumberFormat="1" applyFont="1" applyFill="1" applyBorder="0" applyAlignment="1">
      <x:alignment vertical="center" wrapText="1"/>
    </x:xf>
    <x:xf numFmtId="200" fontId="0" fillId="17" xfId="0" applyNumberFormat="1" applyFont="1" applyFill="1" applyBorder="0" applyAlignment="1">
      <x:alignment vertical="center" wrapText="1"/>
    </x:xf>
    <x:xf numFmtId="201" fontId="0" fillId="17" xfId="0" applyNumberFormat="1" applyFont="1" applyFill="1" applyBorder="0" applyAlignment="1">
      <x:alignment vertical="center" wrapText="1"/>
    </x:xf>
    <x:xf numFmtId="0" fontId="0" fillId="17" borderId="6" xfId="0" applyNumberFormat="1" applyFont="1" applyFill="1" applyBorder="1" applyAlignment="1">
      <x:alignment vertical="center" wrapText="1"/>
    </x:xf>
    <x:xf numFmtId="0" fontId="0" fillId="18" borderId="5" xfId="0" applyNumberFormat="1" applyFont="1" applyFill="1" applyBorder="1" applyAlignment="1">
      <x:alignment vertical="center" wrapText="1"/>
    </x:xf>
    <x:xf numFmtId="0" fontId="0" fillId="18" xfId="0" applyNumberFormat="1" applyFont="1" applyFill="1" applyBorder="0" applyAlignment="1">
      <x:alignment vertical="center" wrapText="1"/>
    </x:xf>
    <x:xf numFmtId="200" fontId="0" fillId="18" xfId="0" applyNumberFormat="1" applyFont="1" applyFill="1" applyBorder="0" applyAlignment="1">
      <x:alignment vertical="center" wrapText="1"/>
    </x:xf>
    <x:xf numFmtId="201" fontId="0" fillId="18" xfId="0" applyNumberFormat="1" applyFont="1" applyFill="1" applyBorder="0" applyAlignment="1">
      <x:alignment vertical="center" wrapText="1"/>
    </x:xf>
    <x:xf numFmtId="0" fontId="0" fillId="18" borderId="6" xfId="0" applyNumberFormat="1" applyFont="1" applyFill="1" applyBorder="1" applyAlignment="1">
      <x:alignment vertical="center" wrapText="1"/>
    </x:xf>
    <x:xf numFmtId="0" fontId="0" fillId="19" borderId="5" xfId="0" applyNumberFormat="1" applyFont="1" applyFill="1" applyBorder="1" applyAlignment="1">
      <x:alignment vertical="center" wrapText="1"/>
    </x:xf>
    <x:xf numFmtId="0" fontId="0" fillId="19" xfId="0" applyNumberFormat="1" applyFont="1" applyFill="1" applyBorder="0" applyAlignment="1">
      <x:alignment vertical="center" wrapText="1"/>
    </x:xf>
    <x:xf numFmtId="200" fontId="0" fillId="19" xfId="0" applyNumberFormat="1" applyFont="1" applyFill="1" applyBorder="0" applyAlignment="1">
      <x:alignment vertical="center" wrapText="1"/>
    </x:xf>
    <x:xf numFmtId="201" fontId="0" fillId="19" xfId="0" applyNumberFormat="1" applyFont="1" applyFill="1" applyBorder="0" applyAlignment="1">
      <x:alignment vertical="center" wrapText="1"/>
    </x:xf>
    <x:xf numFmtId="0" fontId="0" fillId="19" borderId="6" xfId="0" applyNumberFormat="1" applyFont="1" applyFill="1" applyBorder="1" applyAlignment="1">
      <x:alignment vertical="center" wrapText="1"/>
    </x:xf>
    <x:xf numFmtId="0" fontId="0" fillId="19" borderId="7" xfId="0" applyNumberFormat="1" applyFont="1" applyFill="1" applyBorder="1" applyAlignment="1">
      <x:alignment vertical="center" wrapText="1"/>
    </x:xf>
    <x:xf numFmtId="0" fontId="0" fillId="19" borderId="8" xfId="0" applyNumberFormat="1" applyFont="1" applyFill="1" applyBorder="1" applyAlignment="1">
      <x:alignment vertical="center" wrapText="1"/>
    </x:xf>
    <x:xf numFmtId="200" fontId="0" fillId="19" borderId="8" xfId="0" applyNumberFormat="1" applyFont="1" applyFill="1" applyBorder="1" applyAlignment="1">
      <x:alignment vertical="center" wrapText="1"/>
    </x:xf>
    <x:xf numFmtId="201" fontId="0" fillId="19" borderId="8" xfId="0" applyNumberFormat="1" applyFont="1" applyFill="1" applyBorder="1" applyAlignment="1">
      <x:alignment vertical="center" wrapText="1"/>
    </x:xf>
    <x:xf numFmtId="0" fontId="0" fillId="19" borderId="9" xfId="0" applyNumberFormat="1" applyFont="1" applyFill="1" applyBorder="1" applyAlignment="1">
      <x:alignment vertical="center" wrapText="1"/>
    </x:xf>
    <x:xf numFmtId="200" fontId="0" fillId="0" borderId="6" xfId="0" applyNumberFormat="1" applyFont="1" applyFill="1" applyBorder="1"/>
    <x:xf numFmtId="201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12" borderId="5" xfId="0" applyNumberFormat="1" applyFont="1" applyFill="1" applyBorder="1"/>
    <x:xf numFmtId="0" fontId="0" fillId="12" borderId="7" xfId="0" applyNumberFormat="1" applyFont="1" applyFill="1" applyBorder="1"/>
    <x:xf numFmtId="0" fontId="0" fillId="19" borderId="7" xfId="0" applyNumberFormat="1" applyFont="1" applyFill="1" applyBorder="1"/>
    <x:xf numFmtId="200" fontId="0" fillId="19" borderId="9" xfId="0" applyNumberFormat="1" applyFont="1" applyFill="1" applyBorder="1"/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horizontal="left"/>
    </x:xf>
    <x:xf numFmtId="0" fontId="14" fillId="15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center" wrapText="1"/>
    </x:xf>
    <x:xf numFmtId="0" fontId="14" fillId="15" borderId="2" xfId="0" applyNumberFormat="1" applyFont="1" applyFill="1" applyBorder="1" applyAlignment="1">
      <x:alignment horizontal="left" vertical="center" wrapText="1"/>
    </x:xf>
    <x:xf numFmtId="0" fontId="14" fillId="15" borderId="3" xfId="0" applyNumberFormat="1" applyFont="1" applyFill="1" applyBorder="1" applyAlignment="1">
      <x:alignment horizontal="left" vertical="center" wrapText="1"/>
    </x:xf>
    <x:xf numFmtId="0" fontId="14" fillId="15" borderId="4" xfId="0" applyNumberFormat="1" applyFont="1" applyFill="1" applyBorder="1" applyAlignment="1">
      <x:alignment horizontal="left" vertical="center" wrapText="1"/>
    </x:xf>
    <x:xf numFmtId="0" fontId="0" fillId="15" borderId="5" xfId="0" applyNumberFormat="1" applyFont="1" applyFill="1" applyBorder="1" applyAlignment="1">
      <x:alignment wrapText="1"/>
    </x:xf>
    <x:xf numFmtId="0" fontId="0" fillId="15" borderId="7" xfId="0" applyNumberFormat="1" applyFont="1" applyFill="1" applyBorder="1" applyAlignment="1">
      <x:alignment wrapText="1"/>
    </x:xf>
    <x:xf numFmtId="0" fontId="0" fillId="15" borderId="5" xfId="0" applyNumberFormat="1" applyFont="1" applyFill="1" applyBorder="1" applyAlignment="1">
      <x:alignment horizontal="center" wrapText="1"/>
    </x:xf>
    <x:xf numFmtId="0" fontId="0" fillId="15" borderId="7" xfId="0" applyNumberFormat="1" applyFont="1" applyFill="1" applyBorder="1" applyAlignment="1">
      <x:alignment horizontal="center" wrapText="1"/>
    </x:xf>
    <x:xf numFmtId="0" fontId="12" fillId="3" borderId="0" xfId="0" applyNumberFormat="1" applyFont="1" applyFill="1" applyBorder="1" applyAlignment="1">
      <x:alignment horizontal="left" vertical="center"/>
    </x:xf>
    <x:xf numFmtId="0" fontId="12" fillId="3" borderId="0" xfId="0" applyNumberFormat="1" applyFont="1" applyFill="1" applyBorder="1"/>
    <x:xf numFmtId="0" fontId="12" fillId="3" borderId="0" xfId="0" applyNumberFormat="1" applyFont="1" applyFill="1" applyBorder="1" applyAlignment="1">
      <x:alignment horizontal="left"/>
    </x:xf>
    <x:xf numFmtId="20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200" fontId="0" fillId="19" borderId="0" xfId="0" applyNumberFormat="1" applyFont="1" applyFill="1" applyBorder="1" applyAlignment="1">
      <x:alignment vertical="center" wrapText="1"/>
    </x:xf>
    <x:xf numFmtId="201" fontId="0" fillId="19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200" fontId="0" fillId="19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horizontal="center" wrapText="1"/>
    </x:xf>
    <x:xf numFmtId="203" fontId="3" fillId="0" borderId="0" xfId="0" applyNumberFormat="1" applyFont="1" applyFill="1" applyBorder="1" applyAlignment="1">
      <x:alignment vertical="center"/>
    </x:xf>
    <x:xf numFmtId="203" fontId="3" fillId="9" borderId="0" xfId="0" applyNumberFormat="1" applyFont="1" applyFill="1" applyBorder="1" applyAlignment="1">
      <x:alignment horizontal="center" vertical="center"/>
    </x:xf>
    <x:xf numFmtId="203" fontId="8" fillId="8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horizontal="left"/>
    </x:xf>
    <x:xf numFmtId="0" fontId="11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5" fillId="21" borderId="0" xfId="0" applyNumberFormat="1" applyFont="1" applyFill="1" applyBorder="1"/>
    <x:xf numFmtId="0" fontId="15" fillId="21" borderId="0" xfId="0" applyNumberFormat="1" applyFont="1" applyFill="1" applyBorder="1" applyAlignment="1">
      <x:alignment wrapText="1"/>
    </x:xf>
    <x:xf numFmtId="0" fontId="15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0" xfId="0" applyNumberFormat="1" applyFont="1" applyFill="1" applyBorder="1" applyAlignment="1">
      <x:alignment wrapText="1"/>
    </x:xf>
    <x:xf numFmtId="0" fontId="10" fillId="22" borderId="0" xfId="0" applyNumberFormat="1" applyFont="1" applyFill="1" applyBorder="1" applyAlignment="1">
      <x:alignment horizontal="center" wrapText="1"/>
    </x:xf>
    <x:xf numFmtId="0" fontId="10" fillId="2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horizontal="left"/>
    </x:xf>
    <x:xf numFmtId="0" fontId="11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16" fillId="24" borderId="0" xfId="0" applyNumberFormat="1" applyFont="1" applyFill="1" applyBorder="1"/>
    <x:xf numFmtId="0" fontId="16" fillId="24" borderId="0" xfId="0" applyNumberFormat="1" applyFont="1" applyFill="1" applyBorder="1" applyAlignment="1">
      <x:alignment wrapText="1"/>
    </x:xf>
    <x:xf numFmtId="0" fontId="16" fillId="24" borderId="0" xfId="0" applyNumberFormat="1" applyFont="1" applyFill="1" applyBorder="1" applyAlignment="1">
      <x:alignment horizontal="left" wrapText="1"/>
    </x:xf>
    <x:xf numFmtId="0" fontId="16" fillId="24" borderId="0" xfId="0" applyNumberFormat="1" applyFont="1" applyFill="1" applyBorder="1" applyAlignment="1">
      <x:alignment horizontal="left" vertical="center" wrapText="1"/>
    </x:xf>
    <x:xf numFmtId="0" fontId="0" fillId="25" borderId="0" xfId="0" applyNumberFormat="1" applyFont="1" applyFill="1" applyBorder="1"/>
    <x:xf numFmtId="0" fontId="10" fillId="25" borderId="0" xfId="0" applyNumberFormat="1" applyFont="1" applyFill="1" applyBorder="1"/>
    <x:xf numFmtId="0" fontId="10" fillId="25" borderId="0" xfId="0" applyNumberFormat="1" applyFont="1" applyFill="1" applyBorder="1" applyAlignment="1">
      <x:alignment wrapText="1"/>
    </x:xf>
    <x:xf numFmtId="0" fontId="10" fillId="25" borderId="0" xfId="0" applyNumberFormat="1" applyFont="1" applyFill="1" applyBorder="1" applyAlignment="1">
      <x:alignment horizontal="center" wrapText="1"/>
    </x:xf>
    <x:xf numFmtId="0" fontId="10" fillId="25" borderId="0" xfId="0" applyNumberFormat="1" applyFont="1" applyFill="1" applyBorder="1" applyAlignment="1">
      <x:alignment horizontal="center" vertical="center" wrapText="1"/>
    </x:xf>
    <x:xf numFmtId="0" fontId="10" fillId="25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vertical="top" wrapText="1"/>
    </x:xf>
    <x:xf numFmtId="204" fontId="0" fillId="0" xfId="0" applyNumberFormat="1" applyFont="1" applyFill="1" applyBorder="0" applyAlignment="1">
      <x:alignment vertical="top" wrapText="1"/>
    </x:xf>
    <x:xf numFmtId="202" fontId="0" fillId="0" xfId="0" applyNumberFormat="1" applyFont="1" applyFill="1" applyBorder="0" applyAlignment="1">
      <x:alignment vertical="top" wrapText="1"/>
    </x:xf>
    <x:xf numFmtId="0" fontId="10" fillId="25" borderId="0" xfId="0" applyNumberFormat="1" applyFont="1" applyFill="1" applyBorder="1" applyAlignment="1">
      <x:alignment horizontal="center" vertical="top" wrapText="1"/>
    </x:xf>
    <x:xf numFmtId="0" fontId="10" fillId="25" xfId="0" applyNumberFormat="1" applyFont="1" applyFill="1" applyBorder="0" applyAlignment="1">
      <x:alignment horizontal="center" vertical="top" wrapText="1"/>
    </x:xf>
    <x:xf numFmtId="201" fontId="0" fillId="0" xfId="0" applyNumberFormat="1" applyFont="1" applyFill="1" applyBorder="0" applyAlignment="1">
      <x:alignment vertical="top" wrapText="1"/>
    </x:xf>
    <x:xf numFmtId="205" fontId="0" fillId="0" xfId="0" applyNumberFormat="1" applyFont="1" applyFill="1" applyBorder="0" applyAlignment="1">
      <x:alignment vertical="top" wrapText="1"/>
    </x:xf>
    <x:xf numFmtId="206" fontId="0" fillId="0" xfId="0" applyNumberFormat="1" applyFont="1" applyFill="1" applyBorder="0" applyAlignment="1">
      <x:alignment vertical="top" wrapText="1"/>
    </x:xf>
    <x:xf numFmtId="0" fontId="0" fillId="26" xfId="0" applyNumberFormat="1" applyFont="1" applyFill="1" applyBorder="0" applyAlignment="1">
      <x:alignment vertical="top" wrapText="1"/>
    </x:xf>
    <x:xf numFmtId="0" fontId="17" fillId="26" xfId="0" applyNumberFormat="1" applyFont="1" applyFill="1" applyBorder="0" applyAlignment="1">
      <x:alignment vertical="top" wrapText="1"/>
    </x:xf>
    <x:xf numFmtId="0" fontId="0" fillId="27" xfId="0" applyNumberFormat="1" applyFont="1" applyFill="1" applyBorder="0" applyAlignment="1">
      <x:alignment vertical="top" wrapText="1"/>
    </x:xf>
    <x:xf numFmtId="201" fontId="0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201" fontId="18" fillId="27" xfId="0" applyNumberFormat="1" applyFont="1" applyFill="1" applyBorder="0" applyAlignment="1">
      <x:alignment vertical="top" wrapText="1"/>
    </x:xf>
    <x:xf numFmtId="0" fontId="18" fillId="27" xfId="0" applyNumberFormat="1" applyFont="1" applyFill="1" applyBorder="0" applyAlignment="1">
      <x:alignment horizontal="left" vertical="top" wrapText="1"/>
    </x:xf>
    <x:xf numFmtId="201" fontId="18" fillId="27" xfId="0" applyNumberFormat="1" applyFont="1" applyFill="1" applyBorder="0" applyAlignment="1">
      <x:alignment horizontal="left" vertical="top" wrapText="1"/>
    </x:xf>
    <x:xf numFmtId="0" fontId="18" fillId="27" xfId="0" applyNumberFormat="1" applyFont="1" applyFill="1" applyBorder="0" applyAlignment="1">
      <x:alignment horizontal="left" vertical="center" wrapText="1"/>
    </x:xf>
    <x:xf numFmtId="201" fontId="18" fillId="27" xfId="0" applyNumberFormat="1" applyFont="1" applyFill="1" applyBorder="0" applyAlignment="1">
      <x:alignment horizontal="left" vertical="center" wrapText="1"/>
    </x:xf>
    <x:xf numFmtId="0" fontId="0" fillId="28" borderId="0" xfId="0" applyNumberFormat="1" applyFont="1" applyFill="1" applyBorder="1"/>
    <x:xf numFmtId="0" fontId="19" fillId="28" borderId="0" xfId="0" applyNumberFormat="1" applyFont="1" applyFill="1" applyBorder="1"/>
    <x:xf numFmtId="0" fontId="19" fillId="28" borderId="0" xfId="0" applyNumberFormat="1" applyFont="1" applyFill="1" applyBorder="1" applyAlignment="1">
      <x:alignment wrapText="1"/>
    </x:xf>
    <x:xf numFmtId="0" fontId="19" fillId="28" borderId="0" xfId="0" applyNumberFormat="1" applyFont="1" applyFill="1" applyBorder="1" applyAlignment="1">
      <x:alignment vertical="top" wrapText="1"/>
    </x:xf>
    <x:xf numFmtId="0" fontId="11" fillId="23" borderId="0" xfId="0" applyNumberFormat="1" applyFont="1" applyFill="1" applyBorder="1" applyAlignment="1">
      <x:alignment horizontal="center" vertical="center"/>
    </x:xf>
    <x:xf numFmtId="0" fontId="12" fillId="24" borderId="0" xfId="0" applyNumberFormat="1" applyFont="1" applyFill="1" applyBorder="1" applyAlignment="1">
      <x:alignment horizontal="left" vertical="center"/>
    </x:xf>
    <x:xf numFmtId="0" fontId="16" fillId="24" borderId="0" xfId="0" applyNumberFormat="1" applyFont="1" applyFill="1" applyBorder="1" applyAlignment="1">
      <x:alignment horizontal="left" vertical="center"/>
    </x:xf>
    <x:xf numFmtId="0" fontId="6" fillId="13" borderId="0" xfId="0" applyNumberFormat="1" applyFont="1" applyFill="1" applyBorder="1" applyAlignment="1">
      <x:alignment horizontal="center" vertical="top" wrapText="1"/>
    </x:xf>
    <x:xf numFmtId="0" fontId="0" fillId="15" borderId="0" xfId="0" applyNumberFormat="1" applyFont="1" applyFill="1" applyBorder="1" applyAlignment="1">
      <x:alignment vertical="top" wrapText="1"/>
    </x:xf>
    <x:xf numFmtId="0" fontId="0" fillId="15" xfId="0" applyNumberFormat="1" applyFont="1" applyFill="1" applyBorder="0" applyAlignment="1">
      <x:alignment vertical="top" wrapText="1"/>
    </x:xf>
    <x:xf numFmtId="201" fontId="0" fillId="15" xfId="0" applyNumberFormat="1" applyFont="1" applyFill="1" applyBorder="0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0" fontId="0" fillId="16" xfId="0" applyNumberFormat="1" applyFont="1" applyFill="1" applyBorder="0" applyAlignment="1">
      <x:alignment vertical="top" wrapText="1"/>
    </x:xf>
    <x:xf numFmtId="201" fontId="0" fillId="16" xfId="0" applyNumberFormat="1" applyFont="1" applyFill="1" applyBorder="0" applyAlignment="1">
      <x:alignment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0" fillId="17" xfId="0" applyNumberFormat="1" applyFont="1" applyFill="1" applyBorder="0" applyAlignment="1">
      <x:alignment vertical="top" wrapText="1"/>
    </x:xf>
    <x:xf numFmtId="201" fontId="0" fillId="17" xfId="0" applyNumberFormat="1" applyFont="1" applyFill="1" applyBorder="0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0" fontId="0" fillId="18" xfId="0" applyNumberFormat="1" applyFont="1" applyFill="1" applyBorder="0" applyAlignment="1">
      <x:alignment vertical="top" wrapText="1"/>
    </x:xf>
    <x:xf numFmtId="201" fontId="0" fillId="18" xfId="0" applyNumberFormat="1" applyFont="1" applyFill="1" applyBorder="0" applyAlignment="1">
      <x:alignment vertical="top" wrapText="1"/>
    </x:xf>
    <x:xf numFmtId="0" fontId="0" fillId="19" borderId="0" xfId="0" applyNumberFormat="1" applyFont="1" applyFill="1" applyBorder="1" applyAlignment="1">
      <x:alignment vertical="top" wrapText="1"/>
    </x:xf>
    <x:xf numFmtId="0" fontId="0" fillId="19" xfId="0" applyNumberFormat="1" applyFont="1" applyFill="1" applyBorder="0" applyAlignment="1">
      <x:alignment vertical="top" wrapText="1"/>
    </x:xf>
    <x:xf numFmtId="201" fontId="0" fillId="19" xfId="0" applyNumberFormat="1" applyFont="1" applyFill="1" applyBorder="0" applyAlignment="1">
      <x:alignment vertical="top" wrapText="1"/>
    </x:xf>
    <x:xf numFmtId="201" fontId="0" fillId="19" borderId="0" xfId="0" applyNumberFormat="1" applyFont="1" applyFill="1" applyBorder="1" applyAlignment="1">
      <x:alignment vertical="top" wrapText="1"/>
    </x:xf>
    <x:xf numFmtId="0" fontId="6" fillId="25" borderId="0" xfId="0" applyNumberFormat="1" applyFont="1" applyFill="1" applyBorder="1" applyAlignment="1">
      <x:alignment horizontal="center" vertical="top" wrapText="1"/>
    </x:xf>
    <x:xf numFmtId="0" fontId="6" fillId="25" borderId="0" xfId="0" applyNumberFormat="1" applyFont="1" applyFill="1" applyBorder="1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 wrapText="1"/>
    </x:xf>
    <x:xf numFmtId="0" fontId="9" fillId="9" borderId="0" xfId="0" applyNumberFormat="1" applyFont="1" applyFill="1" applyBorder="1" applyAlignment="1">
      <x:alignment vertical="center" wrapText="1"/>
    </x:xf>
    <x:xf numFmtId="201" fontId="9" fillId="9" borderId="0" xfId="0" applyNumberFormat="1" applyFont="1" applyFill="1" applyBorder="1" applyAlignment="1">
      <x:alignment vertical="center" wrapText="1"/>
    </x:xf>
    <x:xf numFmtId="200" fontId="9" fillId="9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201" fontId="3" fillId="0" borderId="0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201" fontId="9" fillId="9" borderId="0" xfId="0" applyNumberFormat="1" applyFont="1" applyFill="1" applyBorder="1" applyAlignment="1">
      <x:alignment vertical="top" wrapText="1"/>
    </x:xf>
    <x:xf numFmtId="200" fontId="9" fillId="9" borderId="0" xfId="0" applyNumberFormat="1" applyFont="1" applyFill="1" applyBorder="1" applyAlignment="1">
      <x:alignment vertical="top" wrapText="1"/>
    </x:xf>
    <x:xf numFmtId="0" fontId="3" fillId="0" xfId="0" applyNumberFormat="1" applyFont="1" applyFill="1" applyBorder="0" applyAlignment="1">
      <x:alignment vertical="top" wrapText="1"/>
    </x:xf>
    <x:xf numFmtId="201" fontId="3" fillId="0" xfId="0" applyNumberFormat="1" applyFont="1" applyFill="1" applyBorder="0" applyAlignment="1">
      <x:alignment vertical="top" wrapText="1"/>
    </x:xf>
    <x:xf numFmtId="200" fontId="3" fillId="0" xfId="0" applyNumberFormat="1" applyFont="1" applyFill="1" applyBorder="0" applyAlignment="1">
      <x:alignment vertical="top" wrapText="1"/>
    </x:xf>
    <x:xf numFmtId="0" fontId="9" fillId="9" xfId="0" applyNumberFormat="1" applyFont="1" applyFill="1" applyBorder="0" applyAlignment="1">
      <x:alignment vertical="top" wrapText="1"/>
    </x:xf>
    <x:xf numFmtId="201" fontId="9" fillId="9" xfId="0" applyNumberFormat="1" applyFont="1" applyFill="1" applyBorder="0" applyAlignment="1">
      <x:alignment vertical="top" wrapText="1"/>
    </x:xf>
    <x:xf numFmtId="200" fontId="9" fillId="9" xfId="0" applyNumberFormat="1" applyFont="1" applyFill="1" applyBorder="0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 applyAlignment="1">
      <x:alignment wrapText="1"/>
    </x:xf>
    <x:xf numFmtId="200" fontId="0" fillId="19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19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0" fillId="3" xfId="0" applyNumberFormat="1" applyFont="1" applyFill="1" applyBorder="0" applyAlignment="1">
      <x:alignment vertical="top" wrapText="1"/>
    </x:xf>
    <x:xf numFmtId="200" fontId="0" fillId="0" xfId="0" applyNumberFormat="1" applyFont="1" applyFill="1" applyBorder="0" applyAlignment="1">
      <x:alignment vertical="top" wrapText="1"/>
    </x:xf>
    <x:xf numFmtId="200" fontId="0" fillId="19" xfId="0" applyNumberFormat="1" applyFont="1" applyFill="1" applyBorder="0" applyAlignment="1">
      <x:alignment vertical="top" wrapText="1"/>
    </x:xf>
    <x:xf numFmtId="0" fontId="13" fillId="14" xfId="0" applyNumberFormat="1" applyFont="1" applyFill="1" applyBorder="0" applyAlignment="1">
      <x:alignment vertical="top" wrapText="1"/>
    </x:xf>
    <x:xf numFmtId="0" fontId="0" fillId="27" borderId="0" xfId="0" applyNumberFormat="1" applyFont="1" applyFill="1" applyBorder="1"/>
    <x:xf numFmtId="0" fontId="18" fillId="27" borderId="0" xfId="0" applyNumberFormat="1" applyFont="1" applyFill="1" applyBorder="1"/>
    <x:xf numFmtId="0" fontId="18" fillId="27" borderId="0" xfId="0" applyNumberFormat="1" applyFont="1" applyFill="1" applyBorder="1" applyAlignment="1">
      <x:alignment horizontal="left"/>
    </x:xf>
    <x:xf numFmtId="0" fontId="18" fillId="27" borderId="0" xfId="0" applyNumberFormat="1" applyFont="1" applyFill="1" applyBorder="1" applyAlignment="1">
      <x:alignment horizontal="left" vertical="center"/>
    </x:xf>
    <x:xf numFmtId="0" fontId="14" fillId="15" borderId="0" xfId="0" applyNumberFormat="1" applyFont="1" applyFill="1" applyBorder="1" applyAlignment="1">
      <x:alignment horizontal="left" vertical="top" wrapText="1"/>
    </x:xf>
    <x:xf numFmtId="0" fontId="0" fillId="15" borderId="0" xfId="0" applyNumberFormat="1" applyFont="1" applyFill="1" applyBorder="1" applyAlignment="1">
      <x:alignment horizontal="center" vertical="top" wrapText="1"/>
    </x:xf>
    <x:xf numFmtId="0" fontId="18" fillId="27" xfId="0" applyNumberFormat="1" applyFont="1" applyFill="1" applyBorder="0" applyAlignment="1">
      <x:alignment horizontal="left" vertical="center"/>
    </x:xf>
    <x:xf numFmtId="0" fontId="14" fillId="15" xfId="0" applyNumberFormat="1" applyFont="1" applyFill="1" applyBorder="0" applyAlignment="1">
      <x:alignment horizontal="left" vertical="top" wrapText="1"/>
    </x:xf>
    <x:xf numFmtId="0" fontId="0" fillId="15" xfId="0" applyNumberFormat="1" applyFont="1" applyFill="1" applyBorder="0" applyAlignment="1">
      <x:alignment horizontal="center" vertical="top" wrapText="1"/>
    </x:xf>
    <x:xf numFmtId="0" fontId="15" fillId="24" borderId="0" xfId="0" applyNumberFormat="1" applyFont="1" applyFill="1" applyBorder="1" applyAlignment="1">
      <x:alignment vertical="center" wrapText="1"/>
    </x:xf>
    <x:xf numFmtId="0" fontId="16" fillId="24" borderId="0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 applyAlignment="1">
      <x:alignment vertical="top" wrapText="1"/>
    </x:xf>
    <x:xf numFmtId="0" fontId="20" fillId="29" borderId="0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 applyAlignment="1">
      <x:alignment vertical="top" wrapText="1"/>
    </x:xf>
    <x:xf numFmtId="0" fontId="10" fillId="22" xfId="0" applyNumberFormat="1" applyFont="1" applyFill="1" applyBorder="0" applyAlignment="1">
      <x:alignment horizontal="center" vertical="center" wrapText="1"/>
    </x:xf>
    <x:xf numFmtId="0" fontId="20" fillId="29" xfId="0" applyNumberFormat="1" applyFont="1" applyFill="1" applyBorder="0" applyAlignment="1">
      <x:alignment vertical="top" wrapText="1"/>
    </x:xf>
    <x:xf numFmtId="0" fontId="19" fillId="28" xfId="0" applyNumberFormat="1" applyFont="1" applyFill="1" applyBorder="0" applyAlignment="1">
      <x:alignment vertical="top" wrapText="1"/>
    </x:xf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left"/>
    </x:xf>
    <x:xf numFmtId="0" fontId="11" fillId="22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wrapText="1"/>
    </x:xf>
    <x:xf numFmtId="0" fontId="16" fillId="21" borderId="0" xfId="0" applyNumberFormat="1" applyFont="1" applyFill="1" applyBorder="1" applyAlignment="1">
      <x:alignment horizontal="left" wrapText="1"/>
    </x:xf>
    <x:xf numFmtId="0" fontId="16" fillId="21" borderId="0" xfId="0" applyNumberFormat="1" applyFont="1" applyFill="1" applyBorder="1" applyAlignment="1">
      <x:alignment horizontal="left" vertical="center" wrapText="1"/>
    </x:xf>
    <x:xf numFmtId="0" fontId="11" fillId="22" borderId="0" xfId="0" applyNumberFormat="1" applyFont="1" applyFill="1" applyBorder="1" applyAlignment="1">
      <x:alignment horizontal="center" vertical="center"/>
    </x:xf>
    <x:xf numFmtId="0" fontId="12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horizontal="left" vertical="center"/>
    </x:xf>
    <x:xf numFmtId="0" fontId="16" fillId="21" borderId="0" xfId="0" applyNumberFormat="1" applyFont="1" applyFill="1" applyBorder="1" applyAlignment="1">
      <x:alignment vertical="center" wrapText="1"/>
    </x:xf>
    <x:xf numFmtId="0" fontId="11" fillId="22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999115b1295f42f4"/><Relationship Type="http://schemas.openxmlformats.org/officeDocument/2006/relationships/theme" Target="/xl/theme/theme1.xml" Id="R820a55fd45b8467b"/><Relationship Type="http://schemas.openxmlformats.org/officeDocument/2006/relationships/sharedStrings" Target="/xl/sharedStrings.xml" Id="R438c9b035141477d"/><Relationship Type="http://schemas.openxmlformats.org/officeDocument/2006/relationships/worksheet" Target="/xl/worksheets/sheet1.xml" Id="R17117f0308514131"/><Relationship Type="http://schemas.openxmlformats.org/officeDocument/2006/relationships/worksheet" Target="/xl/worksheets/sheet2.xml" Id="R8f9d7fc1e4104cc4"/><Relationship Type="http://schemas.openxmlformats.org/officeDocument/2006/relationships/worksheet" Target="/xl/worksheets/sheet3.xml" Id="R08f3f5507a8d421a"/><Relationship Type="http://schemas.openxmlformats.org/officeDocument/2006/relationships/worksheet" Target="/xl/worksheets/sheet4.xml" Id="R1bd136d64b484fc8"/><Relationship Type="http://schemas.openxmlformats.org/officeDocument/2006/relationships/worksheet" Target="/xl/worksheets/sheet5.xml" Id="R01b5bfde62b3429e"/><Relationship Type="http://schemas.openxmlformats.org/officeDocument/2006/relationships/worksheet" Target="/xl/worksheets/sheet6.xml" Id="R47e07315701e4e75"/><Relationship Type="http://schemas.openxmlformats.org/officeDocument/2006/relationships/worksheet" Target="/xl/worksheets/sheet7.xml" Id="Rf3337a77e49544ce"/><Relationship Type="http://schemas.openxmlformats.org/officeDocument/2006/relationships/worksheet" Target="/xl/worksheets/sheet8.xml" Id="R50c7af26ae824333"/><Relationship Type="http://schemas.openxmlformats.org/officeDocument/2006/relationships/worksheet" Target="/xl/worksheets/sheet9.xml" Id="R3df41296733f4968"/><Relationship Type="http://schemas.openxmlformats.org/officeDocument/2006/relationships/worksheet" Target="/xl/worksheets/sheet10.xml" Id="R00897d6d28824d0d"/><Relationship Type="http://schemas.openxmlformats.org/officeDocument/2006/relationships/worksheet" Target="/xl/worksheets/sheet11.xml" Id="Rada7cf4125ca4620"/><Relationship Type="http://schemas.openxmlformats.org/officeDocument/2006/relationships/worksheet" Target="/xl/worksheets/sheet12.xml" Id="Rnew12"/><Relationship Type="http://schemas.openxmlformats.org/officeDocument/2006/relationships/worksheet" Target="/xl/worksheets/sheet13.xml" Id="Rnew13"/></Relationships>
</file>

<file path=xl/tables/table1.xml><?xml version="1.0" encoding="utf-8"?>
<x:table xmlns:x="http://schemas.openxmlformats.org/spreadsheetml/2006/main" id="1" name="JointParametersTable" displayName="JointParametersTable" ref="A7:X23" headerRowCount="1">
  <x:tableColumns count="24">
    <x:tableColumn id="1" name="Leg"/>
    <x:tableColumn id="2" name="Joint"/>
    <x:tableColumn id="3" name="Parent link"/>
    <x:tableColumn id="4" name="Child link"/>
    <x:tableColumn id="5" name="Type"/>
    <x:tableColumn id="6" name="Motor ID"/>
    <x:tableColumn id="7" name="Dir"/>
    <x:tableColumn id="8" name="Axis X"/>
    <x:tableColumn id="9" name="Axis Y"/>
    <x:tableColumn id="10" name="Axis Z"/>
    <x:tableColumn id="11" name="X parent&#10;[mm]"/>
    <x:tableColumn id="12" name="Y parent&#10;[mm]"/>
    <x:tableColumn id="13" name="Z parent&#10;[mm]"/>
    <x:tableColumn id="14" name="θ min&#10;[deg]"/>
    <x:tableColumn id="15" name="θ max&#10;[deg]"/>
    <x:tableColumn id="16" name="X parent&#10;[m]"/>
    <x:tableColumn id="17" name="Y parent&#10;[m]"/>
    <x:tableColumn id="18" name="Z parent&#10;[m]"/>
    <x:tableColumn id="19" name="θ min&#10;[rad]"/>
    <x:tableColumn id="20" name="θ max&#10;[rad]"/>
    <x:tableColumn id="21" name="Speed&#10;[rpm]"/>
    <x:tableColumn id="22" name="Speed&#10;[rad/s]"/>
    <x:tableColumn id="23" name="Torque&#10;[kg·cm]"/>
    <x:tableColumn id="24" name="Effort&#10;[N·m]"/>
  </x:tableColumns>
  <x:tableStyleInfo name="TableStyleMedium2" showRowStripes="1"/>
</x:table>
</file>

<file path=xl/tables/table2.xml><?xml version="1.0" encoding="utf-8"?>
<x:table xmlns:x="http://schemas.openxmlformats.org/spreadsheetml/2006/main" id="2" name="MeshTransformsTable" displayName="MeshTransformsTable" ref="A5:O22" headerRowCount="1">
  <x:tableColumns count="15">
    <x:tableColumn id="1" name="Link"/>
    <x:tableColumn id="2" name="Visual mesh"/>
    <x:tableColumn id="3" name="Collision mesh"/>
    <x:tableColumn id="4" name="Visual X&#10;[m]"/>
    <x:tableColumn id="5" name="Visual Y&#10;[m]"/>
    <x:tableColumn id="6" name="Visual Z&#10;[m]"/>
    <x:tableColumn id="7" name="Visual R&#10;[deg]"/>
    <x:tableColumn id="8" name="Visual P&#10;[deg]"/>
    <x:tableColumn id="9" name="Visual Yaw&#10;[deg]"/>
    <x:tableColumn id="10" name="Collision X&#10;[m]"/>
    <x:tableColumn id="11" name="Collision Y&#10;[m]"/>
    <x:tableColumn id="12" name="Collision Z&#10;[m]"/>
    <x:tableColumn id="13" name="Collision R&#10;[deg]"/>
    <x:tableColumn id="14" name="Collision P&#10;[deg]"/>
    <x:tableColumn id="15" name="Collision Yaw&#10;[deg]"/>
  </x:tableColumns>
  <x:tableStyleInfo name="TableStyleMedium2" showRowStripes="1"/>
</x:table>
</file>

<file path=xl/tables/table3.xml><?xml version="1.0" encoding="utf-8"?>
<x:table xmlns:x="http://schemas.openxmlformats.org/spreadsheetml/2006/main" id="3" name="LinkEngineeringTable" displayName="LinkEngineeringTable" ref="A4:K21" headerRowCount="1">
  <x:tableColumns count="11">
    <x:tableColumn id="1" name="Link"/>
    <x:tableColumn id="2" name="Zone"/>
    <x:tableColumn id="3" name="URDF mesh"/>
    <x:tableColumn id="4" name="Mass [g]"/>
    <x:tableColumn id="5" name="Mass [kg]"/>
    <x:tableColumn id="6" name="Assembly grouping"/>
    <x:tableColumn id="7" name="Material composition"/>
    <x:tableColumn id="8" name="Components from Engineering_Data"/>
    <x:tableColumn id="9" name="Fastener allocation"/>
    <x:tableColumn id="10" name="Inertial status"/>
    <x:tableColumn id="11" name="URDF 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3632fb57ee49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06a6cc5bb641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033e6dd49543d3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3" hidden="0" customWidth="1"/>
    <x:col min="4" max="4" width="25" hidden="0" customWidth="1"/>
    <x:col min="5" max="5" width="11" hidden="0" customWidth="1"/>
    <x:col min="6" max="6" width="10" hidden="0" customWidth="1"/>
    <x:col min="7" max="7" width="7" hidden="0" customWidth="1"/>
    <x:col min="8" max="8" width="8" hidden="0" customWidth="1"/>
    <x:col min="9" max="9" width="8" hidden="0" customWidth="1"/>
    <x:col min="10" max="10" width="8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2" hidden="0" customWidth="1"/>
    <x:col min="17" max="17" width="12" hidden="0" customWidth="1"/>
    <x:col min="18" max="18" width="12" hidden="0" customWidth="1"/>
    <x:col min="19" max="19" width="13" hidden="0" customWidth="1"/>
    <x:col min="20" max="20" width="13" hidden="0" customWidth="1"/>
    <x:col min="21" max="21" width="11" hidden="0" customWidth="1"/>
    <x:col min="22" max="22" width="13" hidden="0" customWidth="1"/>
    <x:col min="23" max="23" width="13" hidden="0" customWidth="1"/>
    <x:col min="24" max="24" width="13" hidden="0" customWidth="1"/>
  </x:cols>
  <x:sheetData>
    <x:row r="1" ht="28" customHeight="1">
      <x:c r="A1" s="5" t="str">
        <x:v>MATDOG — matt_robodog_rev00 | Tabella cinematica canonica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</x:row>
    <x:row r="2" ht="20" customHeight="1">
      <x:c r="A2" s="13" t="str">
        <x:v>Baseline URDF consolidata · origini joint nel frame del parent link · mesh auditata · limiti in gradi e radianti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  <x:c r="S2" s="13"/>
      <x:c r="T2" s="13"/>
      <x:c r="U2" s="13"/>
      <x:c r="V2" s="13"/>
      <x:c r="W2" s="13"/>
      <x:c r="X2" s="13"/>
    </x:row>
    <x:row r="4" ht="20" customHeight="1">
      <x:c r="A4" s="26" t="str">
        <x:v>Robot</x:v>
      </x:c>
      <x:c r="B4" s="21" t="str">
        <x:v>matt_robodog_rev00</x:v>
      </x:c>
      <x:c r="C4" s="26" t="str">
        <x:v>Revisione</x:v>
      </x:c>
      <x:c r="D4" s="21" t="str">
        <x:v>REV01-FIX — hip origin Z +2.2 mm; physical properties 2026-10-30</x:v>
      </x:c>
      <x:c r="E4" s="26" t="str">
        <x:v>Stato</x:v>
      </x:c>
      <x:c r="F4" s="29" t="str">
        <x:v>CANONICA — CLEAN AUDIT</x:v>
      </x:c>
      <x:c r="G4" s="26" t="str">
        <x:v>Total joints</x:v>
      </x:c>
      <x:c r="H4" s="21" t="n">
        <x:v>16</x:v>
      </x:c>
      <x:c r="I4" s="26" t="str">
        <x:v>Revolute</x:v>
      </x:c>
      <x:c r="J4" s="21" t="n">
        <x:v>12</x:v>
      </x:c>
      <x:c r="K4" s="26" t="str">
        <x:v>Fixed</x:v>
      </x:c>
      <x:c r="L4" s="21" t="n">
        <x:v>4</x:v>
      </x:c>
    </x:row>
    <x:row r="7" ht="34" customHeight="1">
      <x:c r="A7" s="36" t="str">
        <x:v>Leg</x:v>
      </x:c>
      <x:c r="B7" s="36" t="str">
        <x:v>Joint</x:v>
      </x:c>
      <x:c r="C7" s="36" t="str">
        <x:v>Parent link</x:v>
      </x:c>
      <x:c r="D7" s="36" t="str">
        <x:v>Child link</x:v>
      </x:c>
      <x:c r="E7" s="36" t="str">
        <x:v>Type</x:v>
      </x:c>
      <x:c r="F7" s="36" t="str">
        <x:v>Motor ID</x:v>
      </x:c>
      <x:c r="G7" s="36" t="str">
        <x:v>Dir</x:v>
      </x:c>
      <x:c r="H7" s="36" t="str">
        <x:v>Axis X</x:v>
      </x:c>
      <x:c r="I7" s="36" t="str">
        <x:v>Axis Y</x:v>
      </x:c>
      <x:c r="J7" s="36" t="str">
        <x:v>Axis Z</x:v>
      </x:c>
      <x:c r="K7" s="36" t="str">
        <x:v>X parent
[mm]</x:v>
      </x:c>
      <x:c r="L7" s="36" t="str">
        <x:v>Y parent
[mm]</x:v>
      </x:c>
      <x:c r="M7" s="36" t="str">
        <x:v>Z parent
[mm]</x:v>
      </x:c>
      <x:c r="N7" s="36" t="str">
        <x:v>θ min
[deg]</x:v>
      </x:c>
      <x:c r="O7" s="36" t="str">
        <x:v>θ max
[deg]</x:v>
      </x:c>
      <x:c r="P7" s="36" t="str">
        <x:v>X parent
[m]</x:v>
      </x:c>
      <x:c r="Q7" s="36" t="str">
        <x:v>Y parent
[m]</x:v>
      </x:c>
      <x:c r="R7" s="36" t="str">
        <x:v>Z parent
[m]</x:v>
      </x:c>
      <x:c r="S7" s="36" t="str">
        <x:v>θ min
[rad]</x:v>
      </x:c>
      <x:c r="T7" s="36" t="str">
        <x:v>θ max
[rad]</x:v>
      </x:c>
      <x:c r="U7" s="36" t="str">
        <x:v>Speed
[rpm]</x:v>
      </x:c>
      <x:c r="V7" s="36" t="str">
        <x:v>Speed
[rad/s]</x:v>
      </x:c>
      <x:c r="W7" s="36" t="str">
        <x:v>Torque
[kg·cm]</x:v>
      </x:c>
      <x:c r="X7" s="36" t="str">
        <x:v>Effort
[N·m]</x:v>
      </x:c>
    </x:row>
    <x:row r="8" ht="19" customHeight="1">
      <x:c r="A8" s="48" t="str">
        <x:v>LF</x:v>
      </x:c>
      <x:c r="B8" s="43" t="str">
        <x:v>lf_hip_joint</x:v>
      </x:c>
      <x:c r="C8" s="43" t="str">
        <x:v>base_link</x:v>
      </x:c>
      <x:c r="D8" s="43" t="str">
        <x:v>lf_hip_link</x:v>
      </x:c>
      <x:c r="E8" s="43" t="str">
        <x:v>Revolute</x:v>
      </x:c>
      <x:c r="F8" s="43" t="n">
        <x:v>13</x:v>
      </x:c>
      <x:c r="G8" s="43" t="n">
        <x:v>1</x:v>
      </x:c>
      <x:c r="H8" s="43" t="n">
        <x:v>1</x:v>
      </x:c>
      <x:c r="I8" s="43" t="n">
        <x:v>0</x:v>
      </x:c>
      <x:c r="J8" s="43" t="n">
        <x:v>0</x:v>
      </x:c>
      <x:c r="K8" s="64" t="n">
        <x:v>112.5</x:v>
      </x:c>
      <x:c r="L8" s="64" t="n">
        <x:v>47.5</x:v>
      </x:c>
      <x:c r="M8" s="64">
        <x:v>48.7</x:v>
      </x:c>
      <x:c r="N8" s="64" t="n">
        <x:v>-45</x:v>
      </x:c>
      <x:c r="O8" s="64" t="n">
        <x:v>45</x:v>
      </x:c>
      <x:c r="P8" s="70" t="n">
        <x:f>IF($E8="Fixed","",$K8/1000)</x:f>
        <x:v>0.1125</x:v>
      </x:c>
      <x:c r="Q8" s="70" t="n">
        <x:f>IF($E8="Fixed","",$L8/1000)</x:f>
        <x:v>0.0475</x:v>
      </x:c>
      <x:c r="R8" s="70">
        <x:f>IF($E8="Fixed","",$M8/1000)</x:f>
        <x:v>0.0487</x:v>
      </x:c>
      <x:c r="S8" s="269" t="n">
        <x:f>IF($E8="Fixed","",PI()/180*$N8)</x:f>
        <x:v>-0.7853981633974483</x:v>
      </x:c>
      <x:c r="T8" s="269" t="n">
        <x:f>IF($E8="Fixed","",PI()/180*$O8)</x:f>
        <x:v>0.7853981633974483</x:v>
      </x:c>
      <x:c r="U8" s="64" t="n">
        <x:v>29</x:v>
      </x:c>
      <x:c r="V8" s="76" t="n">
        <x:f>IF($E8="Fixed","",$U8*2*PI()/60)</x:f>
        <x:v>3.0368728984701336</x:v>
      </x:c>
      <x:c r="W8" s="64" t="n">
        <x:v>9.2</x:v>
      </x:c>
      <x:c r="X8" s="76" t="n">
        <x:f>IF($E8="Fixed","",$W8*0.09807)</x:f>
        <x:v>0.9022439999999999</x:v>
      </x:c>
    </x:row>
    <x:row r="9" ht="19" customHeight="1">
      <x:c r="A9" s="48" t="str">
        <x:v>LF</x:v>
      </x:c>
      <x:c r="B9" s="43" t="str">
        <x:v>lf_upper_leg_joint</x:v>
      </x:c>
      <x:c r="C9" s="43" t="str">
        <x:v>lf_hip_link</x:v>
      </x:c>
      <x:c r="D9" s="43" t="str">
        <x:v>lf_upper_leg_link</x:v>
      </x:c>
      <x:c r="E9" s="43" t="str">
        <x:v>Revolute</x:v>
      </x:c>
      <x:c r="F9" s="43" t="n">
        <x:v>12</x:v>
      </x:c>
      <x:c r="G9" s="43" t="n">
        <x:v>1</x:v>
      </x:c>
      <x:c r="H9" s="43" t="n">
        <x:v>0</x:v>
      </x:c>
      <x:c r="I9" s="43" t="n">
        <x:v>1</x:v>
      </x:c>
      <x:c r="J9" s="43" t="n">
        <x:v>0</x:v>
      </x:c>
      <x:c r="K9" s="64" t="n">
        <x:v>0</x:v>
      </x:c>
      <x:c r="L9" s="64" t="n">
        <x:v>48</x:v>
      </x:c>
      <x:c r="M9" s="64" t="n">
        <x:v>0</x:v>
      </x:c>
      <x:c r="N9" s="68" t="n">
        <x:v>-52.5</x:v>
      </x:c>
      <x:c r="O9" s="68" t="n">
        <x:v>122.5</x:v>
      </x:c>
      <x:c r="P9" s="71" t="n">
        <x:f>IF($E9="Fixed","",$K9/1000)</x:f>
        <x:v>0</x:v>
      </x:c>
      <x:c r="Q9" s="71" t="n">
        <x:f>IF($E9="Fixed","",$L9/1000)</x:f>
        <x:v>0.048</x:v>
      </x:c>
      <x:c r="R9" s="71" t="n">
        <x:f>IF($E9="Fixed","",$M9/1000)</x:f>
        <x:v>0</x:v>
      </x:c>
      <x:c r="S9" s="270" t="n">
        <x:f>IF($E9="Fixed","",PI()/180*$N9)</x:f>
        <x:v>-0.9162978572970231</x:v>
      </x:c>
      <x:c r="T9" s="270" t="n">
        <x:f>IF($E9="Fixed","",PI()/180*$O9)</x:f>
        <x:v>2.138028333693054</x:v>
      </x:c>
      <x:c r="U9" s="64" t="n">
        <x:v>29</x:v>
      </x:c>
      <x:c r="V9" s="76" t="n">
        <x:f>IF($E9="Fixed","",$U9*2*PI()/60)</x:f>
        <x:v>3.0368728984701336</x:v>
      </x:c>
      <x:c r="W9" s="64" t="n">
        <x:v>9.2</x:v>
      </x:c>
      <x:c r="X9" s="76" t="n">
        <x:f>IF($E9="Fixed","",$W9*0.09807)</x:f>
        <x:v>0.9022439999999999</x:v>
      </x:c>
    </x:row>
    <x:row r="10" ht="19" customHeight="1">
      <x:c r="A10" s="48" t="str">
        <x:v>LF</x:v>
      </x:c>
      <x:c r="B10" s="43" t="str">
        <x:v>lf_lower_leg_joint</x:v>
      </x:c>
      <x:c r="C10" s="43" t="str">
        <x:v>lf_upper_leg_link</x:v>
      </x:c>
      <x:c r="D10" s="43" t="str">
        <x:v>lf_lower_leg_link</x:v>
      </x:c>
      <x:c r="E10" s="43" t="str">
        <x:v>Revolute</x:v>
      </x:c>
      <x:c r="F10" s="43" t="n">
        <x:v>11</x:v>
      </x:c>
      <x:c r="G10" s="43" t="n">
        <x:v>1</x:v>
      </x:c>
      <x:c r="H10" s="43" t="n">
        <x:v>0</x:v>
      </x:c>
      <x:c r="I10" s="43" t="n">
        <x:v>1</x:v>
      </x:c>
      <x:c r="J10" s="43" t="n">
        <x:v>0</x:v>
      </x:c>
      <x:c r="K10" s="64" t="n">
        <x:v>0</x:v>
      </x:c>
      <x:c r="L10" s="64" t="n">
        <x:v>0</x:v>
      </x:c>
      <x:c r="M10" s="64" t="n">
        <x:v>-90</x:v>
      </x:c>
      <x:c r="N10" s="68" t="n">
        <x:v>-92</x:v>
      </x:c>
      <x:c r="O10" s="68" t="n">
        <x:v>37.5</x:v>
      </x:c>
      <x:c r="P10" s="71" t="n">
        <x:f>IF($E10="Fixed","",$K10/1000)</x:f>
        <x:v>0</x:v>
      </x:c>
      <x:c r="Q10" s="71" t="n">
        <x:f>IF($E10="Fixed","",$L10/1000)</x:f>
        <x:v>0</x:v>
      </x:c>
      <x:c r="R10" s="71" t="n">
        <x:f>IF($E10="Fixed","",$M10/1000)</x:f>
        <x:v>-0.09</x:v>
      </x:c>
      <x:c r="S10" s="270" t="n">
        <x:v>-1.6057029118347832</x:v>
      </x:c>
      <x:c r="T10" s="270" t="n">
        <x:f>IF($E10="Fixed","",PI()/180*$O10)</x:f>
        <x:v>0.6544984694978736</x:v>
      </x:c>
      <x:c r="U10" s="64" t="n">
        <x:v>29</x:v>
      </x:c>
      <x:c r="V10" s="76" t="n">
        <x:f>IF($E10="Fixed","",$U10*2*PI()/60)</x:f>
        <x:v>3.0368728984701336</x:v>
      </x:c>
      <x:c r="W10" s="64" t="n">
        <x:v>9.2</x:v>
      </x:c>
      <x:c r="X10" s="76" t="n">
        <x:f>IF($E10="Fixed","",$W10*0.09807)</x:f>
        <x:v>0.9022439999999999</x:v>
      </x:c>
    </x:row>
    <x:row r="11" ht="19" customHeight="1">
      <x:c r="A11" s="54" t="str">
        <x:v>LF</x:v>
      </x:c>
      <x:c r="B11" s="55" t="str">
        <x:v>lf_foot_joint</x:v>
      </x:c>
      <x:c r="C11" s="55" t="str">
        <x:v>lf_lower_leg_link</x:v>
      </x:c>
      <x:c r="D11" s="55" t="str">
        <x:v>lf_foot_link</x:v>
      </x:c>
      <x:c r="E11" s="55" t="str">
        <x:v>Fixed</x:v>
      </x:c>
      <x:c r="F11" s="55"/>
      <x:c r="G11" s="55"/>
      <x:c r="H11" s="55"/>
      <x:c r="I11" s="55"/>
      <x:c r="J11" s="55"/>
      <x:c r="K11" s="65" t="n">
        <x:v>107</x:v>
      </x:c>
      <x:c r="L11" s="65" t="n">
        <x:v>-1.5</x:v>
      </x:c>
      <x:c r="M11" s="65" t="n">
        <x:v>-49.9</x:v>
      </x:c>
      <x:c r="N11" s="65"/>
      <x:c r="O11" s="65"/>
      <x:c r="P11" s="72" t="str">
        <x:f>IF($E11="Fixed","",$K11/1000)</x:f>
      </x:c>
      <x:c r="Q11" s="72" t="str">
        <x:f>IF($E11="Fixed","",$L11/1000)</x:f>
      </x:c>
      <x:c r="R11" s="72" t="str">
        <x:f>IF($E11="Fixed","",$M11/1000)</x:f>
      </x:c>
      <x:c r="S11" s="271" t="str">
        <x:f>IF($E11="Fixed","",PI()/180*$N11)</x:f>
      </x:c>
      <x:c r="T11" s="271" t="str">
        <x:f>IF($E11="Fixed","",PI()/180*$O11)</x:f>
      </x:c>
      <x:c r="U11" s="65"/>
      <x:c r="V11" s="78" t="str">
        <x:f>IF($E11="Fixed","",$U11*2*PI()/60)</x:f>
      </x:c>
      <x:c r="W11" s="65"/>
      <x:c r="X11" s="78" t="str">
        <x:f>IF($E11="Fixed","",$W11*0.09807)</x:f>
      </x:c>
    </x:row>
    <x:row r="12" ht="19" customHeight="1">
      <x:c r="A12" s="48" t="str">
        <x:v>RF</x:v>
      </x:c>
      <x:c r="B12" s="43" t="str">
        <x:v>rf_hip_joint</x:v>
      </x:c>
      <x:c r="C12" s="43" t="str">
        <x:v>base_link</x:v>
      </x:c>
      <x:c r="D12" s="43" t="str">
        <x:v>rf_hip_link</x:v>
      </x:c>
      <x:c r="E12" s="43" t="str">
        <x:v>Revolute</x:v>
      </x:c>
      <x:c r="F12" s="43" t="n">
        <x:v>23</x:v>
      </x:c>
      <x:c r="G12" s="43" t="n">
        <x:v>1</x:v>
      </x:c>
      <x:c r="H12" s="43" t="n">
        <x:v>1</x:v>
      </x:c>
      <x:c r="I12" s="43" t="n">
        <x:v>0</x:v>
      </x:c>
      <x:c r="J12" s="43" t="n">
        <x:v>0</x:v>
      </x:c>
      <x:c r="K12" s="64" t="n">
        <x:v>112.5</x:v>
      </x:c>
      <x:c r="L12" s="64" t="n">
        <x:v>-47.5</x:v>
      </x:c>
      <x:c r="M12" s="64">
        <x:v>48.7</x:v>
      </x:c>
      <x:c r="N12" s="64" t="n">
        <x:v>-45</x:v>
      </x:c>
      <x:c r="O12" s="64" t="n">
        <x:v>45</x:v>
      </x:c>
      <x:c r="P12" s="70" t="n">
        <x:f>IF($E12="Fixed","",$K12/1000)</x:f>
        <x:v>0.1125</x:v>
      </x:c>
      <x:c r="Q12" s="70" t="n">
        <x:f>IF($E12="Fixed","",$L12/1000)</x:f>
        <x:v>-0.0475</x:v>
      </x:c>
      <x:c r="R12" s="70">
        <x:f>IF($E12="Fixed","",$M12/1000)</x:f>
        <x:v>0.0487</x:v>
      </x:c>
      <x:c r="S12" s="269" t="n">
        <x:f>IF($E12="Fixed","",PI()/180*$N12)</x:f>
        <x:v>-0.7853981633974483</x:v>
      </x:c>
      <x:c r="T12" s="269" t="n">
        <x:f>IF($E12="Fixed","",PI()/180*$O12)</x:f>
        <x:v>0.7853981633974483</x:v>
      </x:c>
      <x:c r="U12" s="64" t="n">
        <x:v>29</x:v>
      </x:c>
      <x:c r="V12" s="76" t="n">
        <x:f>IF($E12="Fixed","",$U12*2*PI()/60)</x:f>
        <x:v>3.0368728984701336</x:v>
      </x:c>
      <x:c r="W12" s="64" t="n">
        <x:v>9.2</x:v>
      </x:c>
      <x:c r="X12" s="76" t="n">
        <x:f>IF($E12="Fixed","",$W12*0.09807)</x:f>
        <x:v>0.9022439999999999</x:v>
      </x:c>
    </x:row>
    <x:row r="13" ht="19" customHeight="1">
      <x:c r="A13" s="48" t="str">
        <x:v>RF</x:v>
      </x:c>
      <x:c r="B13" s="43" t="str">
        <x:v>rf_upper_leg_joint</x:v>
      </x:c>
      <x:c r="C13" s="43" t="str">
        <x:v>rf_hip_link</x:v>
      </x:c>
      <x:c r="D13" s="43" t="str">
        <x:v>rf_upper_leg_link</x:v>
      </x:c>
      <x:c r="E13" s="43" t="str">
        <x:v>Revolute</x:v>
      </x:c>
      <x:c r="F13" s="43" t="n">
        <x:v>22</x:v>
      </x:c>
      <x:c r="G13" s="43" t="n">
        <x:v>-1</x:v>
      </x:c>
      <x:c r="H13" s="43" t="n">
        <x:v>0</x:v>
      </x:c>
      <x:c r="I13" s="43" t="n">
        <x:v>1</x:v>
      </x:c>
      <x:c r="J13" s="43" t="n">
        <x:v>0</x:v>
      </x:c>
      <x:c r="K13" s="64" t="n">
        <x:v>0</x:v>
      </x:c>
      <x:c r="L13" s="64" t="n">
        <x:v>-48</x:v>
      </x:c>
      <x:c r="M13" s="64" t="n">
        <x:v>0</x:v>
      </x:c>
      <x:c r="N13" s="68" t="n">
        <x:v>-52.5</x:v>
      </x:c>
      <x:c r="O13" s="68" t="n">
        <x:v>122.5</x:v>
      </x:c>
      <x:c r="P13" s="71" t="n">
        <x:f>IF($E13="Fixed","",$K13/1000)</x:f>
        <x:v>0</x:v>
      </x:c>
      <x:c r="Q13" s="71" t="n">
        <x:f>IF($E13="Fixed","",$L13/1000)</x:f>
        <x:v>-0.048</x:v>
      </x:c>
      <x:c r="R13" s="71" t="n">
        <x:f>IF($E13="Fixed","",$M13/1000)</x:f>
        <x:v>0</x:v>
      </x:c>
      <x:c r="S13" s="270" t="n">
        <x:f>IF($E13="Fixed","",PI()/180*$N13)</x:f>
        <x:v>-0.9162978572970231</x:v>
      </x:c>
      <x:c r="T13" s="270" t="n">
        <x:f>IF($E13="Fixed","",PI()/180*$O13)</x:f>
        <x:v>2.138028333693054</x:v>
      </x:c>
      <x:c r="U13" s="64" t="n">
        <x:v>29</x:v>
      </x:c>
      <x:c r="V13" s="76" t="n">
        <x:f>IF($E13="Fixed","",$U13*2*PI()/60)</x:f>
        <x:v>3.0368728984701336</x:v>
      </x:c>
      <x:c r="W13" s="64" t="n">
        <x:v>9.2</x:v>
      </x:c>
      <x:c r="X13" s="76" t="n">
        <x:f>IF($E13="Fixed","",$W13*0.09807)</x:f>
        <x:v>0.9022439999999999</x:v>
      </x:c>
    </x:row>
    <x:row r="14" ht="19" customHeight="1">
      <x:c r="A14" s="48" t="str">
        <x:v>RF</x:v>
      </x:c>
      <x:c r="B14" s="43" t="str">
        <x:v>rf_lower_leg_joint</x:v>
      </x:c>
      <x:c r="C14" s="43" t="str">
        <x:v>rf_upper_leg_link</x:v>
      </x:c>
      <x:c r="D14" s="43" t="str">
        <x:v>rf_lower_leg_link</x:v>
      </x:c>
      <x:c r="E14" s="43" t="str">
        <x:v>Revolute</x:v>
      </x:c>
      <x:c r="F14" s="43" t="n">
        <x:v>21</x:v>
      </x:c>
      <x:c r="G14" s="43" t="n">
        <x:v>-1</x:v>
      </x:c>
      <x:c r="H14" s="43" t="n">
        <x:v>0</x:v>
      </x:c>
      <x:c r="I14" s="43" t="n">
        <x:v>1</x:v>
      </x:c>
      <x:c r="J14" s="43" t="n">
        <x:v>0</x:v>
      </x:c>
      <x:c r="K14" s="64" t="n">
        <x:v>0</x:v>
      </x:c>
      <x:c r="L14" s="64" t="n">
        <x:v>0</x:v>
      </x:c>
      <x:c r="M14" s="64" t="n">
        <x:v>-90</x:v>
      </x:c>
      <x:c r="N14" s="68" t="n">
        <x:v>-92</x:v>
      </x:c>
      <x:c r="O14" s="68" t="n">
        <x:v>37.5</x:v>
      </x:c>
      <x:c r="P14" s="71" t="n">
        <x:f>IF($E14="Fixed","",$K14/1000)</x:f>
        <x:v>0</x:v>
      </x:c>
      <x:c r="Q14" s="71" t="n">
        <x:f>IF($E14="Fixed","",$L14/1000)</x:f>
        <x:v>0</x:v>
      </x:c>
      <x:c r="R14" s="71" t="n">
        <x:f>IF($E14="Fixed","",$M14/1000)</x:f>
        <x:v>-0.09</x:v>
      </x:c>
      <x:c r="S14" s="270" t="n">
        <x:v>-1.6057029118347832</x:v>
      </x:c>
      <x:c r="T14" s="270" t="n">
        <x:f>IF($E14="Fixed","",PI()/180*$O14)</x:f>
        <x:v>0.6544984694978736</x:v>
      </x:c>
      <x:c r="U14" s="64" t="n">
        <x:v>29</x:v>
      </x:c>
      <x:c r="V14" s="76" t="n">
        <x:f>IF($E14="Fixed","",$U14*2*PI()/60)</x:f>
        <x:v>3.0368728984701336</x:v>
      </x:c>
      <x:c r="W14" s="64" t="n">
        <x:v>9.2</x:v>
      </x:c>
      <x:c r="X14" s="76" t="n">
        <x:f>IF($E14="Fixed","",$W14*0.09807)</x:f>
        <x:v>0.9022439999999999</x:v>
      </x:c>
    </x:row>
    <x:row r="15" ht="19" customHeight="1">
      <x:c r="A15" s="54" t="str">
        <x:v>RF</x:v>
      </x:c>
      <x:c r="B15" s="55" t="str">
        <x:v>rf_foot_joint</x:v>
      </x:c>
      <x:c r="C15" s="55" t="str">
        <x:v>rf_lower_leg_link</x:v>
      </x:c>
      <x:c r="D15" s="55" t="str">
        <x:v>rf_foot_link</x:v>
      </x:c>
      <x:c r="E15" s="55" t="str">
        <x:v>Fixed</x:v>
      </x:c>
      <x:c r="F15" s="55"/>
      <x:c r="G15" s="55"/>
      <x:c r="H15" s="55"/>
      <x:c r="I15" s="55"/>
      <x:c r="J15" s="55"/>
      <x:c r="K15" s="65" t="n">
        <x:v>107</x:v>
      </x:c>
      <x:c r="L15" s="65" t="n">
        <x:v>1.5</x:v>
      </x:c>
      <x:c r="M15" s="65" t="n">
        <x:v>-49.9</x:v>
      </x:c>
      <x:c r="N15" s="65"/>
      <x:c r="O15" s="65"/>
      <x:c r="P15" s="72" t="str">
        <x:f>IF($E15="Fixed","",$K15/1000)</x:f>
      </x:c>
      <x:c r="Q15" s="72" t="str">
        <x:f>IF($E15="Fixed","",$L15/1000)</x:f>
      </x:c>
      <x:c r="R15" s="72" t="str">
        <x:f>IF($E15="Fixed","",$M15/1000)</x:f>
      </x:c>
      <x:c r="S15" s="271" t="str">
        <x:f>IF($E15="Fixed","",PI()/180*$N15)</x:f>
      </x:c>
      <x:c r="T15" s="271" t="str">
        <x:f>IF($E15="Fixed","",PI()/180*$O15)</x:f>
      </x:c>
      <x:c r="U15" s="65"/>
      <x:c r="V15" s="78" t="str">
        <x:f>IF($E15="Fixed","",$U15*2*PI()/60)</x:f>
      </x:c>
      <x:c r="W15" s="65"/>
      <x:c r="X15" s="78" t="str">
        <x:f>IF($E15="Fixed","",$W15*0.09807)</x:f>
      </x:c>
    </x:row>
    <x:row r="16" ht="19" customHeight="1">
      <x:c r="A16" s="48" t="str">
        <x:v>RH</x:v>
      </x:c>
      <x:c r="B16" s="43" t="str">
        <x:v>rh_hip_joint</x:v>
      </x:c>
      <x:c r="C16" s="43" t="str">
        <x:v>base_link</x:v>
      </x:c>
      <x:c r="D16" s="43" t="str">
        <x:v>rh_hip_link</x:v>
      </x:c>
      <x:c r="E16" s="43" t="str">
        <x:v>Revolute</x:v>
      </x:c>
      <x:c r="F16" s="43" t="n">
        <x:v>33</x:v>
      </x:c>
      <x:c r="G16" s="43" t="n">
        <x:v>-1</x:v>
      </x:c>
      <x:c r="H16" s="43" t="n">
        <x:v>1</x:v>
      </x:c>
      <x:c r="I16" s="43" t="n">
        <x:v>0</x:v>
      </x:c>
      <x:c r="J16" s="43" t="n">
        <x:v>0</x:v>
      </x:c>
      <x:c r="K16" s="64" t="n">
        <x:v>-112.5</x:v>
      </x:c>
      <x:c r="L16" s="64" t="n">
        <x:v>-47.5</x:v>
      </x:c>
      <x:c r="M16" s="64">
        <x:v>28.7</x:v>
      </x:c>
      <x:c r="N16" s="64" t="n">
        <x:v>-45</x:v>
      </x:c>
      <x:c r="O16" s="64" t="n">
        <x:v>45</x:v>
      </x:c>
      <x:c r="P16" s="70" t="n">
        <x:f>IF($E16="Fixed","",$K16/1000)</x:f>
        <x:v>-0.1125</x:v>
      </x:c>
      <x:c r="Q16" s="70" t="n">
        <x:f>IF($E16="Fixed","",$L16/1000)</x:f>
        <x:v>-0.0475</x:v>
      </x:c>
      <x:c r="R16" s="70">
        <x:f>IF($E16="Fixed","",$M16/1000)</x:f>
        <x:v>0.0287</x:v>
      </x:c>
      <x:c r="S16" s="269" t="n">
        <x:f>IF($E16="Fixed","",PI()/180*$N16)</x:f>
        <x:v>-0.7853981633974483</x:v>
      </x:c>
      <x:c r="T16" s="269" t="n">
        <x:f>IF($E16="Fixed","",PI()/180*$O16)</x:f>
        <x:v>0.7853981633974483</x:v>
      </x:c>
      <x:c r="U16" s="64" t="n">
        <x:v>29</x:v>
      </x:c>
      <x:c r="V16" s="76" t="n">
        <x:f>IF($E16="Fixed","",$U16*2*PI()/60)</x:f>
        <x:v>3.0368728984701336</x:v>
      </x:c>
      <x:c r="W16" s="64" t="n">
        <x:v>9.2</x:v>
      </x:c>
      <x:c r="X16" s="76" t="n">
        <x:f>IF($E16="Fixed","",$W16*0.09807)</x:f>
        <x:v>0.9022439999999999</x:v>
      </x:c>
    </x:row>
    <x:row r="17" ht="19" customHeight="1">
      <x:c r="A17" s="48" t="str">
        <x:v>RH</x:v>
      </x:c>
      <x:c r="B17" s="43" t="str">
        <x:v>rh_upper_leg_joint</x:v>
      </x:c>
      <x:c r="C17" s="43" t="str">
        <x:v>rh_hip_link</x:v>
      </x:c>
      <x:c r="D17" s="43" t="str">
        <x:v>rh_upper_leg_link</x:v>
      </x:c>
      <x:c r="E17" s="43" t="str">
        <x:v>Revolute</x:v>
      </x:c>
      <x:c r="F17" s="43" t="n">
        <x:v>32</x:v>
      </x:c>
      <x:c r="G17" s="43" t="n">
        <x:v>-1</x:v>
      </x:c>
      <x:c r="H17" s="43" t="n">
        <x:v>0</x:v>
      </x:c>
      <x:c r="I17" s="43" t="n">
        <x:v>1</x:v>
      </x:c>
      <x:c r="J17" s="43" t="n">
        <x:v>0</x:v>
      </x:c>
      <x:c r="K17" s="64" t="n">
        <x:v>0</x:v>
      </x:c>
      <x:c r="L17" s="64" t="n">
        <x:v>-48</x:v>
      </x:c>
      <x:c r="M17" s="64" t="n">
        <x:v>0</x:v>
      </x:c>
      <x:c r="N17" s="68" t="n">
        <x:v>-52.5</x:v>
      </x:c>
      <x:c r="O17" s="68" t="n">
        <x:v>122.5</x:v>
      </x:c>
      <x:c r="P17" s="71" t="n">
        <x:f>IF($E17="Fixed","",$K17/1000)</x:f>
        <x:v>0</x:v>
      </x:c>
      <x:c r="Q17" s="71" t="n">
        <x:f>IF($E17="Fixed","",$L17/1000)</x:f>
        <x:v>-0.048</x:v>
      </x:c>
      <x:c r="R17" s="71" t="n">
        <x:f>IF($E17="Fixed","",$M17/1000)</x:f>
        <x:v>0</x:v>
      </x:c>
      <x:c r="S17" s="270" t="n">
        <x:f>IF($E17="Fixed","",PI()/180*$N17)</x:f>
        <x:v>-0.9162978572970231</x:v>
      </x:c>
      <x:c r="T17" s="270" t="n">
        <x:f>IF($E17="Fixed","",PI()/180*$O17)</x:f>
        <x:v>2.138028333693054</x:v>
      </x:c>
      <x:c r="U17" s="64" t="n">
        <x:v>29</x:v>
      </x:c>
      <x:c r="V17" s="76" t="n">
        <x:f>IF($E17="Fixed","",$U17*2*PI()/60)</x:f>
        <x:v>3.0368728984701336</x:v>
      </x:c>
      <x:c r="W17" s="64" t="n">
        <x:v>9.2</x:v>
      </x:c>
      <x:c r="X17" s="76" t="n">
        <x:f>IF($E17="Fixed","",$W17*0.09807)</x:f>
        <x:v>0.9022439999999999</x:v>
      </x:c>
    </x:row>
    <x:row r="18" ht="19" customHeight="1">
      <x:c r="A18" s="48" t="str">
        <x:v>RH</x:v>
      </x:c>
      <x:c r="B18" s="43" t="str">
        <x:v>rh_lower_leg_joint</x:v>
      </x:c>
      <x:c r="C18" s="43" t="str">
        <x:v>rh_upper_leg_link</x:v>
      </x:c>
      <x:c r="D18" s="43" t="str">
        <x:v>rh_lower_leg_link</x:v>
      </x:c>
      <x:c r="E18" s="43" t="str">
        <x:v>Revolute</x:v>
      </x:c>
      <x:c r="F18" s="43" t="n">
        <x:v>31</x:v>
      </x:c>
      <x:c r="G18" s="43" t="n">
        <x:v>-1</x:v>
      </x:c>
      <x:c r="H18" s="43" t="n">
        <x:v>0</x:v>
      </x:c>
      <x:c r="I18" s="43" t="n">
        <x:v>1</x:v>
      </x:c>
      <x:c r="J18" s="43" t="n">
        <x:v>0</x:v>
      </x:c>
      <x:c r="K18" s="64" t="n">
        <x:v>0</x:v>
      </x:c>
      <x:c r="L18" s="64" t="n">
        <x:v>0</x:v>
      </x:c>
      <x:c r="M18" s="64" t="n">
        <x:v>-90</x:v>
      </x:c>
      <x:c r="N18" s="68" t="n">
        <x:v>-92</x:v>
      </x:c>
      <x:c r="O18" s="68" t="n">
        <x:v>37.5</x:v>
      </x:c>
      <x:c r="P18" s="71" t="n">
        <x:f>IF($E18="Fixed","",$K18/1000)</x:f>
        <x:v>0</x:v>
      </x:c>
      <x:c r="Q18" s="71" t="n">
        <x:f>IF($E18="Fixed","",$L18/1000)</x:f>
        <x:v>0</x:v>
      </x:c>
      <x:c r="R18" s="71" t="n">
        <x:f>IF($E18="Fixed","",$M18/1000)</x:f>
        <x:v>-0.09</x:v>
      </x:c>
      <x:c r="S18" s="270" t="n">
        <x:v>-1.6057029118347832</x:v>
      </x:c>
      <x:c r="T18" s="270" t="n">
        <x:f>IF($E18="Fixed","",PI()/180*$O18)</x:f>
        <x:v>0.6544984694978736</x:v>
      </x:c>
      <x:c r="U18" s="64" t="n">
        <x:v>29</x:v>
      </x:c>
      <x:c r="V18" s="76" t="n">
        <x:f>IF($E18="Fixed","",$U18*2*PI()/60)</x:f>
        <x:v>3.0368728984701336</x:v>
      </x:c>
      <x:c r="W18" s="64" t="n">
        <x:v>9.2</x:v>
      </x:c>
      <x:c r="X18" s="76" t="n">
        <x:f>IF($E18="Fixed","",$W18*0.09807)</x:f>
        <x:v>0.9022439999999999</x:v>
      </x:c>
    </x:row>
    <x:row r="19" ht="19" customHeight="1">
      <x:c r="A19" s="54" t="str">
        <x:v>RH</x:v>
      </x:c>
      <x:c r="B19" s="55" t="str">
        <x:v>rh_foot_joint</x:v>
      </x:c>
      <x:c r="C19" s="55" t="str">
        <x:v>rh_lower_leg_link</x:v>
      </x:c>
      <x:c r="D19" s="55" t="str">
        <x:v>rh_foot_link</x:v>
      </x:c>
      <x:c r="E19" s="55" t="str">
        <x:v>Fixed</x:v>
      </x:c>
      <x:c r="F19" s="55"/>
      <x:c r="G19" s="55"/>
      <x:c r="H19" s="55"/>
      <x:c r="I19" s="55"/>
      <x:c r="J19" s="55"/>
      <x:c r="K19" s="65" t="n">
        <x:v>107</x:v>
      </x:c>
      <x:c r="L19" s="65" t="n">
        <x:v>1.5</x:v>
      </x:c>
      <x:c r="M19" s="65" t="n">
        <x:v>-49.9</x:v>
      </x:c>
      <x:c r="N19" s="65"/>
      <x:c r="O19" s="65"/>
      <x:c r="P19" s="72" t="str">
        <x:f>IF($E19="Fixed","",$K19/1000)</x:f>
      </x:c>
      <x:c r="Q19" s="72" t="str">
        <x:f>IF($E19="Fixed","",$L19/1000)</x:f>
      </x:c>
      <x:c r="R19" s="72" t="str">
        <x:f>IF($E19="Fixed","",$M19/1000)</x:f>
      </x:c>
      <x:c r="S19" s="271" t="str">
        <x:f>IF($E19="Fixed","",PI()/180*$N19)</x:f>
      </x:c>
      <x:c r="T19" s="271" t="str">
        <x:f>IF($E19="Fixed","",PI()/180*$O19)</x:f>
      </x:c>
      <x:c r="U19" s="65"/>
      <x:c r="V19" s="78" t="str">
        <x:f>IF($E19="Fixed","",$U19*2*PI()/60)</x:f>
      </x:c>
      <x:c r="W19" s="65"/>
      <x:c r="X19" s="78" t="str">
        <x:f>IF($E19="Fixed","",$W19*0.09807)</x:f>
      </x:c>
    </x:row>
    <x:row r="20" ht="19" customHeight="1">
      <x:c r="A20" s="48" t="str">
        <x:v>LH</x:v>
      </x:c>
      <x:c r="B20" s="43" t="str">
        <x:v>lh_hip_joint</x:v>
      </x:c>
      <x:c r="C20" s="43" t="str">
        <x:v>base_link</x:v>
      </x:c>
      <x:c r="D20" s="43" t="str">
        <x:v>lh_hip_link</x:v>
      </x:c>
      <x:c r="E20" s="43" t="str">
        <x:v>Revolute</x:v>
      </x:c>
      <x:c r="F20" s="43" t="n">
        <x:v>43</x:v>
      </x:c>
      <x:c r="G20" s="43" t="n">
        <x:v>-1</x:v>
      </x:c>
      <x:c r="H20" s="43" t="n">
        <x:v>1</x:v>
      </x:c>
      <x:c r="I20" s="43" t="n">
        <x:v>0</x:v>
      </x:c>
      <x:c r="J20" s="43" t="n">
        <x:v>0</x:v>
      </x:c>
      <x:c r="K20" s="64" t="n">
        <x:v>-112.5</x:v>
      </x:c>
      <x:c r="L20" s="64" t="n">
        <x:v>47.5</x:v>
      </x:c>
      <x:c r="M20" s="64">
        <x:v>28.7</x:v>
      </x:c>
      <x:c r="N20" s="64" t="n">
        <x:v>-45</x:v>
      </x:c>
      <x:c r="O20" s="64" t="n">
        <x:v>45</x:v>
      </x:c>
      <x:c r="P20" s="70" t="n">
        <x:f>IF($E20="Fixed","",$K20/1000)</x:f>
        <x:v>-0.1125</x:v>
      </x:c>
      <x:c r="Q20" s="70" t="n">
        <x:f>IF($E20="Fixed","",$L20/1000)</x:f>
        <x:v>0.0475</x:v>
      </x:c>
      <x:c r="R20" s="70">
        <x:f>IF($E20="Fixed","",$M20/1000)</x:f>
        <x:v>0.0287</x:v>
      </x:c>
      <x:c r="S20" s="269" t="n">
        <x:f>IF($E20="Fixed","",PI()/180*$N20)</x:f>
        <x:v>-0.7853981633974483</x:v>
      </x:c>
      <x:c r="T20" s="269" t="n">
        <x:f>IF($E20="Fixed","",PI()/180*$O20)</x:f>
        <x:v>0.7853981633974483</x:v>
      </x:c>
      <x:c r="U20" s="64" t="n">
        <x:v>29</x:v>
      </x:c>
      <x:c r="V20" s="76" t="n">
        <x:f>IF($E20="Fixed","",$U20*2*PI()/60)</x:f>
        <x:v>3.0368728984701336</x:v>
      </x:c>
      <x:c r="W20" s="64" t="n">
        <x:v>9.2</x:v>
      </x:c>
      <x:c r="X20" s="76" t="n">
        <x:f>IF($E20="Fixed","",$W20*0.09807)</x:f>
        <x:v>0.9022439999999999</x:v>
      </x:c>
    </x:row>
    <x:row r="21" ht="19" customHeight="1">
      <x:c r="A21" s="48" t="str">
        <x:v>LH</x:v>
      </x:c>
      <x:c r="B21" s="43" t="str">
        <x:v>lh_upper_leg_joint</x:v>
      </x:c>
      <x:c r="C21" s="43" t="str">
        <x:v>lh_hip_link</x:v>
      </x:c>
      <x:c r="D21" s="43" t="str">
        <x:v>lh_upper_leg_link</x:v>
      </x:c>
      <x:c r="E21" s="43" t="str">
        <x:v>Revolute</x:v>
      </x:c>
      <x:c r="F21" s="43" t="n">
        <x:v>42</x:v>
      </x:c>
      <x:c r="G21" s="43" t="n">
        <x:v>1</x:v>
      </x:c>
      <x:c r="H21" s="43" t="n">
        <x:v>0</x:v>
      </x:c>
      <x:c r="I21" s="43" t="n">
        <x:v>1</x:v>
      </x:c>
      <x:c r="J21" s="43" t="n">
        <x:v>0</x:v>
      </x:c>
      <x:c r="K21" s="64" t="n">
        <x:v>0</x:v>
      </x:c>
      <x:c r="L21" s="64" t="n">
        <x:v>48</x:v>
      </x:c>
      <x:c r="M21" s="64" t="n">
        <x:v>0</x:v>
      </x:c>
      <x:c r="N21" s="68" t="n">
        <x:v>-52.5</x:v>
      </x:c>
      <x:c r="O21" s="68" t="n">
        <x:v>122.5</x:v>
      </x:c>
      <x:c r="P21" s="71" t="n">
        <x:f>IF($E21="Fixed","",$K21/1000)</x:f>
        <x:v>0</x:v>
      </x:c>
      <x:c r="Q21" s="71" t="n">
        <x:f>IF($E21="Fixed","",$L21/1000)</x:f>
        <x:v>0.048</x:v>
      </x:c>
      <x:c r="R21" s="71" t="n">
        <x:f>IF($E21="Fixed","",$M21/1000)</x:f>
        <x:v>0</x:v>
      </x:c>
      <x:c r="S21" s="270" t="n">
        <x:f>IF($E21="Fixed","",PI()/180*$N21)</x:f>
        <x:v>-0.9162978572970231</x:v>
      </x:c>
      <x:c r="T21" s="270" t="n">
        <x:f>IF($E21="Fixed","",PI()/180*$O21)</x:f>
        <x:v>2.138028333693054</x:v>
      </x:c>
      <x:c r="U21" s="64" t="n">
        <x:v>29</x:v>
      </x:c>
      <x:c r="V21" s="76" t="n">
        <x:f>IF($E21="Fixed","",$U21*2*PI()/60)</x:f>
        <x:v>3.0368728984701336</x:v>
      </x:c>
      <x:c r="W21" s="64" t="n">
        <x:v>9.2</x:v>
      </x:c>
      <x:c r="X21" s="76" t="n">
        <x:f>IF($E21="Fixed","",$W21*0.09807)</x:f>
        <x:v>0.9022439999999999</x:v>
      </x:c>
    </x:row>
    <x:row r="22" ht="19" customHeight="1">
      <x:c r="A22" s="48" t="str">
        <x:v>LH</x:v>
      </x:c>
      <x:c r="B22" s="43" t="str">
        <x:v>lh_lower_leg_joint</x:v>
      </x:c>
      <x:c r="C22" s="43" t="str">
        <x:v>lh_upper_leg_link</x:v>
      </x:c>
      <x:c r="D22" s="43" t="str">
        <x:v>lh_lower_leg_link</x:v>
      </x:c>
      <x:c r="E22" s="43" t="str">
        <x:v>Revolute</x:v>
      </x:c>
      <x:c r="F22" s="43" t="n">
        <x:v>41</x:v>
      </x:c>
      <x:c r="G22" s="43" t="n">
        <x:v>1</x:v>
      </x:c>
      <x:c r="H22" s="43" t="n">
        <x:v>0</x:v>
      </x:c>
      <x:c r="I22" s="43" t="n">
        <x:v>1</x:v>
      </x:c>
      <x:c r="J22" s="43" t="n">
        <x:v>0</x:v>
      </x:c>
      <x:c r="K22" s="64" t="n">
        <x:v>0</x:v>
      </x:c>
      <x:c r="L22" s="64" t="n">
        <x:v>0</x:v>
      </x:c>
      <x:c r="M22" s="64" t="n">
        <x:v>-90</x:v>
      </x:c>
      <x:c r="N22" s="68" t="n">
        <x:v>-92</x:v>
      </x:c>
      <x:c r="O22" s="68" t="n">
        <x:v>37.5</x:v>
      </x:c>
      <x:c r="P22" s="71" t="n">
        <x:f>IF($E22="Fixed","",$K22/1000)</x:f>
        <x:v>0</x:v>
      </x:c>
      <x:c r="Q22" s="71" t="n">
        <x:f>IF($E22="Fixed","",$L22/1000)</x:f>
        <x:v>0</x:v>
      </x:c>
      <x:c r="R22" s="71" t="n">
        <x:f>IF($E22="Fixed","",$M22/1000)</x:f>
        <x:v>-0.09</x:v>
      </x:c>
      <x:c r="S22" s="270" t="n">
        <x:v>-1.6057029118347832</x:v>
      </x:c>
      <x:c r="T22" s="270" t="n">
        <x:f>IF($E22="Fixed","",PI()/180*$O22)</x:f>
        <x:v>0.6544984694978736</x:v>
      </x:c>
      <x:c r="U22" s="64" t="n">
        <x:v>29</x:v>
      </x:c>
      <x:c r="V22" s="76" t="n">
        <x:f>IF($E22="Fixed","",$U22*2*PI()/60)</x:f>
        <x:v>3.0368728984701336</x:v>
      </x:c>
      <x:c r="W22" s="64" t="n">
        <x:v>9.2</x:v>
      </x:c>
      <x:c r="X22" s="76" t="n">
        <x:f>IF($E22="Fixed","",$W22*0.09807)</x:f>
        <x:v>0.9022439999999999</x:v>
      </x:c>
    </x:row>
    <x:row r="23" ht="19" customHeight="1">
      <x:c r="A23" s="54" t="str">
        <x:v>LH</x:v>
      </x:c>
      <x:c r="B23" s="55" t="str">
        <x:v>lh_foot_joint</x:v>
      </x:c>
      <x:c r="C23" s="55" t="str">
        <x:v>lh_lower_leg_link</x:v>
      </x:c>
      <x:c r="D23" s="55" t="str">
        <x:v>lh_foot_link</x:v>
      </x:c>
      <x:c r="E23" s="55" t="str">
        <x:v>Fixed</x:v>
      </x:c>
      <x:c r="F23" s="55"/>
      <x:c r="G23" s="55"/>
      <x:c r="H23" s="55"/>
      <x:c r="I23" s="55"/>
      <x:c r="J23" s="55"/>
      <x:c r="K23" s="65" t="n">
        <x:v>107</x:v>
      </x:c>
      <x:c r="L23" s="65" t="n">
        <x:v>-1.5</x:v>
      </x:c>
      <x:c r="M23" s="65" t="n">
        <x:v>-49.9</x:v>
      </x:c>
      <x:c r="N23" s="65"/>
      <x:c r="O23" s="65"/>
      <x:c r="P23" s="72" t="str">
        <x:f>IF($E23="Fixed","",$K23/1000)</x:f>
      </x:c>
      <x:c r="Q23" s="72" t="str">
        <x:f>IF($E23="Fixed","",$L23/1000)</x:f>
      </x:c>
      <x:c r="R23" s="72" t="str">
        <x:f>IF($E23="Fixed","",$M23/1000)</x:f>
      </x:c>
      <x:c r="S23" s="271" t="str">
        <x:f>IF($E23="Fixed","",PI()/180*$N23)</x:f>
      </x:c>
      <x:c r="T23" s="271" t="str">
        <x:f>IF($E23="Fixed","",PI()/180*$O23)</x:f>
      </x:c>
      <x:c r="U23" s="65"/>
      <x:c r="V23" s="78" t="str">
        <x:f>IF($E23="Fixed","",$U23*2*PI()/60)</x:f>
      </x:c>
      <x:c r="W23" s="65"/>
      <x:c r="X23" s="78" t="str">
        <x:f>IF($E23="Fixed","",$W23*0.09807)</x:f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783632fb57ee492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5" hidden="0" customWidth="1"/>
    <x:col min="3" max="3" width="3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3" hidden="0" customWidth="1"/>
    <x:col min="18" max="18" width="28" hidden="0" customWidth="1"/>
    <x:col min="19" max="19" width="48" hidden="0" customWidth="1"/>
    <x:col min="20" max="20" width="22" hidden="0" customWidth="1"/>
    <x:col min="21" max="21" width="22" hidden="0" customWidth="1"/>
    <x:col min="22" max="22" width="22" hidden="0" customWidth="1"/>
    <x:col min="23" max="23" width="22" hidden="0" customWidth="1"/>
    <x:col min="24" max="24" width="16" hidden="0" customWidth="1"/>
    <x:col min="25" max="25" width="18" hidden="0" customWidth="1"/>
    <x:col min="26" max="26" width="13" hidden="0" customWidth="1"/>
    <x:col min="27" max="27" width="17" hidden="0" customWidth="1"/>
  </x:cols>
  <x:sheetData>
    <x:row r="1" ht="24" customHeight="1">
      <x:c r="A1" s="404" t="str">
        <x:v>MATDOG — Mesh visual + collision + proprietà dinamiche · STL mm → URDF m</x:v>
      </x:c>
      <x:c r="B1" s="404"/>
      <x:c r="C1" s="404"/>
      <x:c r="D1" s="404"/>
      <x:c r="E1" s="404"/>
      <x:c r="F1" s="404"/>
      <x:c r="G1" s="404"/>
      <x:c r="H1" s="404"/>
      <x:c r="I1" s="404"/>
      <x:c r="J1" s="404"/>
      <x:c r="K1" s="404"/>
      <x:c r="L1" s="404"/>
      <x:c r="M1" s="404"/>
      <x:c r="N1" s="404"/>
      <x:c r="O1" s="404"/>
      <x:c r="P1" s="404"/>
      <x:c r="Q1" s="404"/>
      <x:c r="R1" s="404"/>
      <x:c r="S1" s="404"/>
      <x:c r="T1" s="404"/>
      <x:c r="U1" s="404"/>
      <x:c r="V1" s="404"/>
      <x:c r="W1" s="404"/>
      <x:c r="X1" s="156"/>
      <x:c r="Y1" s="156"/>
      <x:c r="Z1" s="156"/>
      <x:c r="AA1" s="156"/>
    </x:row>
    <x:row r="2" ht="36" customHeight="1">
      <x:c r="A2" s="399" t="str">
        <x:v>Origini mesh visual/collision: xyz = 0,0,0 m · rpy = 0°,0°,0°. Visual e collision usano la stessa STL per link (meshes/collision/&lt;link&gt;.stl, REV01-FIX). Gli STL CAD restano in millimetri; ogni &lt;mesh&gt; URDF applica scale="0.001 0.001 0.001". Le masse sono lette da Inertial_Properties.</x:v>
      </x:c>
      <x:c r="B2" s="399"/>
      <x:c r="C2" s="399"/>
      <x:c r="D2" s="399"/>
      <x:c r="E2" s="399"/>
      <x:c r="F2" s="399"/>
      <x:c r="G2" s="399"/>
      <x:c r="H2" s="399"/>
      <x:c r="I2" s="399"/>
      <x:c r="J2" s="399"/>
      <x:c r="K2" s="399"/>
      <x:c r="L2" s="399"/>
      <x:c r="M2" s="399"/>
      <x:c r="N2" s="399"/>
      <x:c r="O2" s="399"/>
      <x:c r="P2" s="399"/>
      <x:c r="Q2" s="399"/>
      <x:c r="R2" s="399"/>
      <x:c r="S2" s="399"/>
      <x:c r="T2" s="399"/>
      <x:c r="U2" s="399"/>
      <x:c r="V2" s="399"/>
      <x:c r="W2" s="399"/>
      <x:c r="X2" s="156"/>
      <x:c r="Y2" s="156"/>
      <x:c r="Z2" s="156"/>
      <x:c r="AA2" s="156"/>
    </x:row>
    <x:row r="5" ht="34" customHeight="1">
      <x:c r="A5" s="345" t="str">
        <x:v>Link</x:v>
      </x:c>
      <x:c r="B5" s="345" t="str">
        <x:v>Visual mesh</x:v>
      </x:c>
      <x:c r="C5" s="345" t="str">
        <x:v>Collision mesh</x:v>
      </x:c>
      <x:c r="D5" s="345" t="str">
        <x:v>Visual X
[m]</x:v>
      </x:c>
      <x:c r="E5" s="345" t="str">
        <x:v>Visual Y
[m]</x:v>
      </x:c>
      <x:c r="F5" s="345" t="str">
        <x:v>Visual Z
[m]</x:v>
      </x:c>
      <x:c r="G5" s="345" t="str">
        <x:v>Visual R
[deg]</x:v>
      </x:c>
      <x:c r="H5" s="345" t="str">
        <x:v>Visual P
[deg]</x:v>
      </x:c>
      <x:c r="I5" s="345" t="str">
        <x:v>Visual Yaw
[deg]</x:v>
      </x:c>
      <x:c r="J5" s="345" t="str">
        <x:v>Collision X
[m]</x:v>
      </x:c>
      <x:c r="K5" s="345" t="str">
        <x:v>Collision Y
[m]</x:v>
      </x:c>
      <x:c r="L5" s="345" t="str">
        <x:v>Collision Z
[m]</x:v>
      </x:c>
      <x:c r="M5" s="345" t="str">
        <x:v>Collision R
[deg]</x:v>
      </x:c>
      <x:c r="N5" s="345" t="str">
        <x:v>Collision P
[deg]</x:v>
      </x:c>
      <x:c r="O5" s="345" t="str">
        <x:v>Collision Yaw
[deg]</x:v>
      </x:c>
      <x:c r="P5" s="345" t="str">
        <x:v>Mass
[g]</x:v>
      </x:c>
      <x:c r="Q5" s="345" t="str">
        <x:v>Mass
[kg]</x:v>
      </x:c>
      <x:c r="R5" s="345" t="str">
        <x:v>Engineering material / composition</x:v>
      </x:c>
      <x:c r="S5" s="345" t="str">
        <x:v>Weight roll-up components</x:v>
      </x:c>
      <x:c r="T5" s="345" t="str">
        <x:v>Fastener allocation</x:v>
      </x:c>
      <x:c r="U5" s="345" t="str">
        <x:v>CoM status</x:v>
      </x:c>
      <x:c r="V5" s="345" t="str">
        <x:v>Inertia status</x:v>
      </x:c>
      <x:c r="W5" s="345" t="str">
        <x:v>URDF metadata</x:v>
      </x:c>
      <x:c r="X5" s="156" t="str">
        <x:v>Visual scale
[STL → URDF]</x:v>
      </x:c>
      <x:c r="Y5" s="156" t="str">
        <x:v>Collision scale
[STL → URDF]</x:v>
      </x:c>
      <x:c r="Z5" s="156" t="str">
        <x:v>STL source unit</x:v>
      </x:c>
      <x:c r="AA5" s="156" t="str">
        <x:v>URDF geometry unit</x:v>
      </x:c>
    </x:row>
    <x:row r="6" ht="19" customHeight="1">
      <x:c r="A6" s="359" t="str">
        <x:v>base_link</x:v>
      </x:c>
      <x:c r="B6" s="359" t="str">
        <x:v>meshes/collision/base_link.stl</x:v>
      </x:c>
      <x:c r="C6" s="359" t="str">
        <x:v>meshes/collision/base_link.stl</x:v>
      </x:c>
      <x:c r="D6" s="360" t="n">
        <x:v>0</x:v>
      </x:c>
      <x:c r="E6" s="360" t="n">
        <x:v>0</x:v>
      </x:c>
      <x:c r="F6" s="360" t="n">
        <x:v>0</x:v>
      </x:c>
      <x:c r="G6" s="361" t="n">
        <x:v>0</x:v>
      </x:c>
      <x:c r="H6" s="361" t="n">
        <x:v>0</x:v>
      </x:c>
      <x:c r="I6" s="361" t="n">
        <x:v>0</x:v>
      </x:c>
      <x:c r="J6" s="360" t="n">
        <x:v>0</x:v>
      </x:c>
      <x:c r="K6" s="360" t="n">
        <x:v>0</x:v>
      </x:c>
      <x:c r="L6" s="360" t="n">
        <x:v>0</x:v>
      </x:c>
      <x:c r="M6" s="361" t="n">
        <x:v>0</x:v>
      </x:c>
      <x:c r="N6" s="361" t="n">
        <x:v>0</x:v>
      </x:c>
      <x:c r="O6" s="361" t="n">
        <x:v>0</x:v>
      </x:c>
      <x:c r="P6" s="306">
        <x:f>Q6*1000</x:f>
        <x:v>1828</x:v>
      </x:c>
      <x:c r="Q6" s="306">
        <x:f>Inertial_Properties!D5</x:f>
        <x:v>1.828</x:v>
      </x:c>
      <x:c r="R6" s="301" t="str">
        <x:v>CAD physical-property report</x:v>
      </x:c>
      <x:c r="S6" s="301" t="str">
        <x:v>base_link__physprop.txt (Solid Edge 2026-10-30)</x:v>
      </x:c>
      <x:c r="T6" s="301" t="str">
        <x:v>CoM available</x:v>
      </x:c>
      <x:c r="U6" s="301" t="str">
        <x:v>Tensor available</x:v>
      </x:c>
      <x:c r="V6" s="301" t="str">
        <x:v>URDF &lt;inertial&gt; inserted</x:v>
      </x:c>
      <x:c r="W6" s="301" t="str">
        <x:v>Simulation-ready · mesh scale=0.001</x:v>
      </x:c>
      <x:c r="X6" s="156" t="str">
        <x:v>0.001 0.001 0.001</x:v>
      </x:c>
      <x:c r="Y6" s="156" t="str">
        <x:v>0.001 0.001 0.001</x:v>
      </x:c>
      <x:c r="Z6" s="156" t="str">
        <x:v>mm</x:v>
      </x:c>
      <x:c r="AA6" s="156" t="str">
        <x:v>m</x:v>
      </x:c>
    </x:row>
    <x:row r="7" ht="19" customHeight="1">
      <x:c r="A7" s="359" t="str">
        <x:v>lf_hip_link</x:v>
      </x:c>
      <x:c r="B7" s="359" t="str">
        <x:v>meshes/collision/lf_hip_link.stl</x:v>
      </x:c>
      <x:c r="C7" s="359" t="str">
        <x:v>meshes/collision/lf_hip_link.stl</x:v>
      </x:c>
      <x:c r="D7" s="360" t="n">
        <x:v>0</x:v>
      </x:c>
      <x:c r="E7" s="360" t="n">
        <x:v>0</x:v>
      </x:c>
      <x:c r="F7" s="360" t="n">
        <x:v>0</x:v>
      </x:c>
      <x:c r="G7" s="361" t="n">
        <x:v>0</x:v>
      </x:c>
      <x:c r="H7" s="361" t="n">
        <x:v>0</x:v>
      </x:c>
      <x:c r="I7" s="361" t="n">
        <x:v>0</x:v>
      </x:c>
      <x:c r="J7" s="360" t="n">
        <x:v>0</x:v>
      </x:c>
      <x:c r="K7" s="360" t="n">
        <x:v>0</x:v>
      </x:c>
      <x:c r="L7" s="360" t="n">
        <x:v>0</x:v>
      </x:c>
      <x:c r="M7" s="361" t="n">
        <x:v>0</x:v>
      </x:c>
      <x:c r="N7" s="361" t="n">
        <x:v>0</x:v>
      </x:c>
      <x:c r="O7" s="361" t="n">
        <x:v>0</x:v>
      </x:c>
      <x:c r="P7" s="306">
        <x:f>Q7*1000</x:f>
        <x:v>50</x:v>
      </x:c>
      <x:c r="Q7" s="306">
        <x:f>Inertial_Properties!D6</x:f>
        <x:v>0.05</x:v>
      </x:c>
      <x:c r="R7" s="301" t="str">
        <x:v>CAD physical-property report</x:v>
      </x:c>
      <x:c r="S7" s="301" t="str">
        <x:v>lf_hip_link__physprop.txt (Solid Edge 2026-10-30)</x:v>
      </x:c>
      <x:c r="T7" s="301" t="str">
        <x:v>CoM available</x:v>
      </x:c>
      <x:c r="U7" s="301" t="str">
        <x:v>Tensor available</x:v>
      </x:c>
      <x:c r="V7" s="301" t="str">
        <x:v>URDF &lt;inertial&gt; inserted</x:v>
      </x:c>
      <x:c r="W7" s="301" t="str">
        <x:v>Simulation-ready · mesh scale=0.001</x:v>
      </x:c>
      <x:c r="X7" s="156" t="str">
        <x:v>0.001 0.001 0.001</x:v>
      </x:c>
      <x:c r="Y7" s="156" t="str">
        <x:v>0.001 0.001 0.001</x:v>
      </x:c>
      <x:c r="Z7" s="156" t="str">
        <x:v>mm</x:v>
      </x:c>
      <x:c r="AA7" s="156" t="str">
        <x:v>m</x:v>
      </x:c>
    </x:row>
    <x:row r="8" ht="19" customHeight="1">
      <x:c r="A8" s="362" t="str">
        <x:v>lf_upper_leg_link</x:v>
      </x:c>
      <x:c r="B8" s="362" t="str">
        <x:v>meshes/collision/lf_upper_leg_link.stl</x:v>
      </x:c>
      <x:c r="C8" s="362" t="str">
        <x:v>meshes/collision/lf_upper_leg_link.stl</x:v>
      </x:c>
      <x:c r="D8" s="363" t="n">
        <x:v>0</x:v>
      </x:c>
      <x:c r="E8" s="363" t="n">
        <x:v>0</x:v>
      </x:c>
      <x:c r="F8" s="363" t="n">
        <x:v>0</x:v>
      </x:c>
      <x:c r="G8" s="364" t="n">
        <x:v>0</x:v>
      </x:c>
      <x:c r="H8" s="364" t="n">
        <x:v>0</x:v>
      </x:c>
      <x:c r="I8" s="364" t="n">
        <x:v>0</x:v>
      </x:c>
      <x:c r="J8" s="363" t="n">
        <x:v>0</x:v>
      </x:c>
      <x:c r="K8" s="363" t="n">
        <x:v>0</x:v>
      </x:c>
      <x:c r="L8" s="363" t="n">
        <x:v>0</x:v>
      </x:c>
      <x:c r="M8" s="364" t="n">
        <x:v>0</x:v>
      </x:c>
      <x:c r="N8" s="364" t="n">
        <x:v>0</x:v>
      </x:c>
      <x:c r="O8" s="364" t="n">
        <x:v>0</x:v>
      </x:c>
      <x:c r="P8" s="306">
        <x:f>Q8*1000</x:f>
        <x:v>152</x:v>
      </x:c>
      <x:c r="Q8" s="306">
        <x:f>Inertial_Properties!D7</x:f>
        <x:v>0.152</x:v>
      </x:c>
      <x:c r="R8" s="301" t="str">
        <x:v>CAD physical-property report</x:v>
      </x:c>
      <x:c r="S8" s="301" t="str">
        <x:v>lf_upper_leg_link__physprop.txt (Solid Edge 2026-10-30)</x:v>
      </x:c>
      <x:c r="T8" s="301" t="str">
        <x:v>CoM available</x:v>
      </x:c>
      <x:c r="U8" s="301" t="str">
        <x:v>Tensor available</x:v>
      </x:c>
      <x:c r="V8" s="301" t="str">
        <x:v>URDF &lt;inertial&gt; inserted</x:v>
      </x:c>
      <x:c r="W8" s="301" t="str">
        <x:v>Simulation-ready · mesh scale=0.001</x:v>
      </x:c>
      <x:c r="X8" s="156" t="str">
        <x:v>0.001 0.001 0.001</x:v>
      </x:c>
      <x:c r="Y8" s="156" t="str">
        <x:v>0.001 0.001 0.001</x:v>
      </x:c>
      <x:c r="Z8" s="156" t="str">
        <x:v>mm</x:v>
      </x:c>
      <x:c r="AA8" s="156" t="str">
        <x:v>m</x:v>
      </x:c>
    </x:row>
    <x:row r="9" ht="19" customHeight="1">
      <x:c r="A9" s="359" t="str">
        <x:v>lf_lower_leg_link</x:v>
      </x:c>
      <x:c r="B9" s="359" t="str">
        <x:v>meshes/collision/lf_lower_leg_link.stl</x:v>
      </x:c>
      <x:c r="C9" s="359" t="str">
        <x:v>meshes/collision/lf_lower_leg_link.stl</x:v>
      </x:c>
      <x:c r="D9" s="360" t="n">
        <x:v>0</x:v>
      </x:c>
      <x:c r="E9" s="360" t="n">
        <x:v>0</x:v>
      </x:c>
      <x:c r="F9" s="360" t="n">
        <x:v>0</x:v>
      </x:c>
      <x:c r="G9" s="361" t="n">
        <x:v>0</x:v>
      </x:c>
      <x:c r="H9" s="361" t="n">
        <x:v>0</x:v>
      </x:c>
      <x:c r="I9" s="361" t="n">
        <x:v>0</x:v>
      </x:c>
      <x:c r="J9" s="360" t="n">
        <x:v>0</x:v>
      </x:c>
      <x:c r="K9" s="360" t="n">
        <x:v>0</x:v>
      </x:c>
      <x:c r="L9" s="360" t="n">
        <x:v>0</x:v>
      </x:c>
      <x:c r="M9" s="361" t="n">
        <x:v>0</x:v>
      </x:c>
      <x:c r="N9" s="361" t="n">
        <x:v>0</x:v>
      </x:c>
      <x:c r="O9" s="361" t="n">
        <x:v>0</x:v>
      </x:c>
      <x:c r="P9" s="306">
        <x:f>Q9*1000</x:f>
        <x:v>59</x:v>
      </x:c>
      <x:c r="Q9" s="306">
        <x:f>Inertial_Properties!D8</x:f>
        <x:v>0.059</x:v>
      </x:c>
      <x:c r="R9" s="301" t="str">
        <x:v>CAD physical-property report</x:v>
      </x:c>
      <x:c r="S9" s="301" t="str">
        <x:v>lf_lower_leg_link__physprop.txt (Solid Edge 2026-10-30)</x:v>
      </x:c>
      <x:c r="T9" s="301" t="str">
        <x:v>CoM available</x:v>
      </x:c>
      <x:c r="U9" s="301" t="str">
        <x:v>Tensor available</x:v>
      </x:c>
      <x:c r="V9" s="301" t="str">
        <x:v>URDF &lt;inertial&gt; inserted</x:v>
      </x:c>
      <x:c r="W9" s="301" t="str">
        <x:v>Simulation-ready · mesh scale=0.001</x:v>
      </x:c>
      <x:c r="X9" s="156" t="str">
        <x:v>0.001 0.001 0.001</x:v>
      </x:c>
      <x:c r="Y9" s="156" t="str">
        <x:v>0.001 0.001 0.001</x:v>
      </x:c>
      <x:c r="Z9" s="156" t="str">
        <x:v>mm</x:v>
      </x:c>
      <x:c r="AA9" s="156" t="str">
        <x:v>m</x:v>
      </x:c>
    </x:row>
    <x:row r="10" ht="19" customHeight="1">
      <x:c r="A10" s="359" t="str">
        <x:v>lf_foot_link</x:v>
      </x:c>
      <x:c r="B10" s="359" t="str">
        <x:v>meshes/collision/lf_foot_link.stl</x:v>
      </x:c>
      <x:c r="C10" s="359" t="str">
        <x:v>meshes/collision/lf_foot_link.stl</x:v>
      </x:c>
      <x:c r="D10" s="360" t="n">
        <x:v>0</x:v>
      </x:c>
      <x:c r="E10" s="360" t="n">
        <x:v>0</x:v>
      </x:c>
      <x:c r="F10" s="360" t="n">
        <x:v>0</x:v>
      </x:c>
      <x:c r="G10" s="361" t="n">
        <x:v>0</x:v>
      </x:c>
      <x:c r="H10" s="361" t="n">
        <x:v>0</x:v>
      </x:c>
      <x:c r="I10" s="361" t="n">
        <x:v>0</x:v>
      </x:c>
      <x:c r="J10" s="360" t="n">
        <x:v>0</x:v>
      </x:c>
      <x:c r="K10" s="360" t="n">
        <x:v>0</x:v>
      </x:c>
      <x:c r="L10" s="360" t="n">
        <x:v>0</x:v>
      </x:c>
      <x:c r="M10" s="361" t="n">
        <x:v>0</x:v>
      </x:c>
      <x:c r="N10" s="361" t="n">
        <x:v>0</x:v>
      </x:c>
      <x:c r="O10" s="361" t="n">
        <x:v>0</x:v>
      </x:c>
      <x:c r="P10" s="306">
        <x:f>Q10*1000</x:f>
        <x:v>14</x:v>
      </x:c>
      <x:c r="Q10" s="306">
        <x:f>Inertial_Properties!D9</x:f>
        <x:v>0.014</x:v>
      </x:c>
      <x:c r="R10" s="301" t="str">
        <x:v>CAD physical-property report</x:v>
      </x:c>
      <x:c r="S10" s="301" t="str">
        <x:v>lf_foot_link__physprop.txt (Solid Edge 2026-10-30)</x:v>
      </x:c>
      <x:c r="T10" s="301" t="str">
        <x:v>CoM available</x:v>
      </x:c>
      <x:c r="U10" s="301" t="str">
        <x:v>Tensor available</x:v>
      </x:c>
      <x:c r="V10" s="301" t="str">
        <x:v>URDF &lt;inertial&gt; inserted</x:v>
      </x:c>
      <x:c r="W10" s="301" t="str">
        <x:v>Simulation-ready · mesh scale=0.001</x:v>
      </x:c>
      <x:c r="X10" s="156" t="str">
        <x:v>0.001 0.001 0.001</x:v>
      </x:c>
      <x:c r="Y10" s="156" t="str">
        <x:v>0.001 0.001 0.001</x:v>
      </x:c>
      <x:c r="Z10" s="156" t="str">
        <x:v>mm</x:v>
      </x:c>
      <x:c r="AA10" s="156" t="str">
        <x:v>m</x:v>
      </x:c>
    </x:row>
    <x:row r="11" ht="19" customHeight="1">
      <x:c r="A11" s="359" t="str">
        <x:v>rf_hip_link</x:v>
      </x:c>
      <x:c r="B11" s="359" t="str">
        <x:v>meshes/collision/rf_hip_link.stl</x:v>
      </x:c>
      <x:c r="C11" s="359" t="str">
        <x:v>meshes/collision/rf_hip_link.stl</x:v>
      </x:c>
      <x:c r="D11" s="360" t="n">
        <x:v>0</x:v>
      </x:c>
      <x:c r="E11" s="360" t="n">
        <x:v>0</x:v>
      </x:c>
      <x:c r="F11" s="360" t="n">
        <x:v>0</x:v>
      </x:c>
      <x:c r="G11" s="361" t="n">
        <x:v>0</x:v>
      </x:c>
      <x:c r="H11" s="361" t="n">
        <x:v>0</x:v>
      </x:c>
      <x:c r="I11" s="361" t="n">
        <x:v>0</x:v>
      </x:c>
      <x:c r="J11" s="360" t="n">
        <x:v>0</x:v>
      </x:c>
      <x:c r="K11" s="360" t="n">
        <x:v>0</x:v>
      </x:c>
      <x:c r="L11" s="360" t="n">
        <x:v>0</x:v>
      </x:c>
      <x:c r="M11" s="361" t="n">
        <x:v>0</x:v>
      </x:c>
      <x:c r="N11" s="361" t="n">
        <x:v>0</x:v>
      </x:c>
      <x:c r="O11" s="361" t="n">
        <x:v>0</x:v>
      </x:c>
      <x:c r="P11" s="306">
        <x:f>Q11*1000</x:f>
        <x:v>50</x:v>
      </x:c>
      <x:c r="Q11" s="306">
        <x:f>Inertial_Properties!D10</x:f>
        <x:v>0.05</x:v>
      </x:c>
      <x:c r="R11" s="301" t="str">
        <x:v>CAD physical-property report</x:v>
      </x:c>
      <x:c r="S11" s="301" t="str">
        <x:v>lf_hip_link__physprop.txt (Solid Edge 2026-10-30)</x:v>
      </x:c>
      <x:c r="T11" s="301" t="str">
        <x:v>CoM available</x:v>
      </x:c>
      <x:c r="U11" s="301" t="str">
        <x:v>Tensor available</x:v>
      </x:c>
      <x:c r="V11" s="301" t="str">
        <x:v>URDF &lt;inertial&gt; inserted</x:v>
      </x:c>
      <x:c r="W11" s="301" t="str">
        <x:v>Simulation-ready · mesh scale=0.001</x:v>
      </x:c>
      <x:c r="X11" s="156" t="str">
        <x:v>0.001 0.001 0.001</x:v>
      </x:c>
      <x:c r="Y11" s="156" t="str">
        <x:v>0.001 0.001 0.001</x:v>
      </x:c>
      <x:c r="Z11" s="156" t="str">
        <x:v>mm</x:v>
      </x:c>
      <x:c r="AA11" s="156" t="str">
        <x:v>m</x:v>
      </x:c>
    </x:row>
    <x:row r="12" ht="19" customHeight="1">
      <x:c r="A12" s="362" t="str">
        <x:v>rf_upper_leg_link</x:v>
      </x:c>
      <x:c r="B12" s="362" t="str">
        <x:v>meshes/collision/rf_upper_leg_link.stl</x:v>
      </x:c>
      <x:c r="C12" s="362" t="str">
        <x:v>meshes/collision/rf_upper_leg_link.stl</x:v>
      </x:c>
      <x:c r="D12" s="363" t="n">
        <x:v>0</x:v>
      </x:c>
      <x:c r="E12" s="363" t="n">
        <x:v>0</x:v>
      </x:c>
      <x:c r="F12" s="363" t="n">
        <x:v>0</x:v>
      </x:c>
      <x:c r="G12" s="364" t="n">
        <x:v>0</x:v>
      </x:c>
      <x:c r="H12" s="364" t="n">
        <x:v>0</x:v>
      </x:c>
      <x:c r="I12" s="364" t="n">
        <x:v>0</x:v>
      </x:c>
      <x:c r="J12" s="363" t="n">
        <x:v>0</x:v>
      </x:c>
      <x:c r="K12" s="363" t="n">
        <x:v>0</x:v>
      </x:c>
      <x:c r="L12" s="363" t="n">
        <x:v>0</x:v>
      </x:c>
      <x:c r="M12" s="364" t="n">
        <x:v>0</x:v>
      </x:c>
      <x:c r="N12" s="364" t="n">
        <x:v>0</x:v>
      </x:c>
      <x:c r="O12" s="364" t="n">
        <x:v>0</x:v>
      </x:c>
      <x:c r="P12" s="306">
        <x:f>Q12*1000</x:f>
        <x:v>152</x:v>
      </x:c>
      <x:c r="Q12" s="306">
        <x:f>Inertial_Properties!D11</x:f>
        <x:v>0.152</x:v>
      </x:c>
      <x:c r="R12" s="301" t="str">
        <x:v>CAD physical-property report</x:v>
      </x:c>
      <x:c r="S12" s="301" t="str">
        <x:v>lf_upper_leg_link__physprop.txt (Solid Edge 2026-10-30)</x:v>
      </x:c>
      <x:c r="T12" s="301" t="str">
        <x:v>CoM available</x:v>
      </x:c>
      <x:c r="U12" s="301" t="str">
        <x:v>Tensor available</x:v>
      </x:c>
      <x:c r="V12" s="301" t="str">
        <x:v>URDF &lt;inertial&gt; inserted</x:v>
      </x:c>
      <x:c r="W12" s="301" t="str">
        <x:v>Simulation-ready · mesh scale=0.001</x:v>
      </x:c>
      <x:c r="X12" s="156" t="str">
        <x:v>0.001 0.001 0.001</x:v>
      </x:c>
      <x:c r="Y12" s="156" t="str">
        <x:v>0.001 0.001 0.001</x:v>
      </x:c>
      <x:c r="Z12" s="156" t="str">
        <x:v>mm</x:v>
      </x:c>
      <x:c r="AA12" s="156" t="str">
        <x:v>m</x:v>
      </x:c>
    </x:row>
    <x:row r="13" ht="19" customHeight="1">
      <x:c r="A13" s="359" t="str">
        <x:v>rf_lower_leg_link</x:v>
      </x:c>
      <x:c r="B13" s="359" t="str">
        <x:v>meshes/collision/rf_lower_leg_link.stl</x:v>
      </x:c>
      <x:c r="C13" s="359" t="str">
        <x:v>meshes/collision/rf_lower_leg_link.stl</x:v>
      </x:c>
      <x:c r="D13" s="360" t="n">
        <x:v>0</x:v>
      </x:c>
      <x:c r="E13" s="360" t="n">
        <x:v>0</x:v>
      </x:c>
      <x:c r="F13" s="360" t="n">
        <x:v>0</x:v>
      </x:c>
      <x:c r="G13" s="361" t="n">
        <x:v>0</x:v>
      </x:c>
      <x:c r="H13" s="361" t="n">
        <x:v>0</x:v>
      </x:c>
      <x:c r="I13" s="361" t="n">
        <x:v>0</x:v>
      </x:c>
      <x:c r="J13" s="360" t="n">
        <x:v>0</x:v>
      </x:c>
      <x:c r="K13" s="360" t="n">
        <x:v>0</x:v>
      </x:c>
      <x:c r="L13" s="360" t="n">
        <x:v>0</x:v>
      </x:c>
      <x:c r="M13" s="361" t="n">
        <x:v>0</x:v>
      </x:c>
      <x:c r="N13" s="361" t="n">
        <x:v>0</x:v>
      </x:c>
      <x:c r="O13" s="361" t="n">
        <x:v>0</x:v>
      </x:c>
      <x:c r="P13" s="306">
        <x:f>Q13*1000</x:f>
        <x:v>59</x:v>
      </x:c>
      <x:c r="Q13" s="306">
        <x:f>Inertial_Properties!D12</x:f>
        <x:v>0.059</x:v>
      </x:c>
      <x:c r="R13" s="301" t="str">
        <x:v>CAD physical-property report</x:v>
      </x:c>
      <x:c r="S13" s="301" t="str">
        <x:v>lf_lower_leg_link__physprop.txt (Solid Edge 2026-10-30)</x:v>
      </x:c>
      <x:c r="T13" s="301" t="str">
        <x:v>CoM available</x:v>
      </x:c>
      <x:c r="U13" s="301" t="str">
        <x:v>Tensor available</x:v>
      </x:c>
      <x:c r="V13" s="301" t="str">
        <x:v>URDF &lt;inertial&gt; inserted</x:v>
      </x:c>
      <x:c r="W13" s="301" t="str">
        <x:v>Simulation-ready · mesh scale=0.001</x:v>
      </x:c>
      <x:c r="X13" s="156" t="str">
        <x:v>0.001 0.001 0.001</x:v>
      </x:c>
      <x:c r="Y13" s="156" t="str">
        <x:v>0.001 0.001 0.001</x:v>
      </x:c>
      <x:c r="Z13" s="156" t="str">
        <x:v>mm</x:v>
      </x:c>
      <x:c r="AA13" s="156" t="str">
        <x:v>m</x:v>
      </x:c>
    </x:row>
    <x:row r="14" ht="19" customHeight="1">
      <x:c r="A14" s="359" t="str">
        <x:v>rf_foot_link</x:v>
      </x:c>
      <x:c r="B14" s="359" t="str">
        <x:v>meshes/collision/rf_foot_link.stl</x:v>
      </x:c>
      <x:c r="C14" s="359" t="str">
        <x:v>meshes/collision/rf_foot_link.stl</x:v>
      </x:c>
      <x:c r="D14" s="360" t="n">
        <x:v>0</x:v>
      </x:c>
      <x:c r="E14" s="360" t="n">
        <x:v>0</x:v>
      </x:c>
      <x:c r="F14" s="360" t="n">
        <x:v>0</x:v>
      </x:c>
      <x:c r="G14" s="361" t="n">
        <x:v>0</x:v>
      </x:c>
      <x:c r="H14" s="361" t="n">
        <x:v>0</x:v>
      </x:c>
      <x:c r="I14" s="361" t="n">
        <x:v>0</x:v>
      </x:c>
      <x:c r="J14" s="360" t="n">
        <x:v>0</x:v>
      </x:c>
      <x:c r="K14" s="360" t="n">
        <x:v>0</x:v>
      </x:c>
      <x:c r="L14" s="360" t="n">
        <x:v>0</x:v>
      </x:c>
      <x:c r="M14" s="361" t="n">
        <x:v>0</x:v>
      </x:c>
      <x:c r="N14" s="361" t="n">
        <x:v>0</x:v>
      </x:c>
      <x:c r="O14" s="361" t="n">
        <x:v>0</x:v>
      </x:c>
      <x:c r="P14" s="306">
        <x:f>Q14*1000</x:f>
        <x:v>14</x:v>
      </x:c>
      <x:c r="Q14" s="306">
        <x:f>Inertial_Properties!D13</x:f>
        <x:v>0.014</x:v>
      </x:c>
      <x:c r="R14" s="301" t="str">
        <x:v>CAD physical-property report</x:v>
      </x:c>
      <x:c r="S14" s="301" t="str">
        <x:v>lf_foot_link__physprop.txt (Solid Edge 2026-10-30)</x:v>
      </x:c>
      <x:c r="T14" s="301" t="str">
        <x:v>CoM available</x:v>
      </x:c>
      <x:c r="U14" s="301" t="str">
        <x:v>Tensor available</x:v>
      </x:c>
      <x:c r="V14" s="301" t="str">
        <x:v>URDF &lt;inertial&gt; inserted</x:v>
      </x:c>
      <x:c r="W14" s="301" t="str">
        <x:v>Simulation-ready · mesh scale=0.001</x:v>
      </x:c>
      <x:c r="X14" s="156" t="str">
        <x:v>0.001 0.001 0.001</x:v>
      </x:c>
      <x:c r="Y14" s="156" t="str">
        <x:v>0.001 0.001 0.001</x:v>
      </x:c>
      <x:c r="Z14" s="156" t="str">
        <x:v>mm</x:v>
      </x:c>
      <x:c r="AA14" s="156" t="str">
        <x:v>m</x:v>
      </x:c>
    </x:row>
    <x:row r="15" ht="19" customHeight="1">
      <x:c r="A15" s="359" t="str">
        <x:v>rh_hip_link</x:v>
      </x:c>
      <x:c r="B15" s="359" t="str">
        <x:v>meshes/collision/rh_hip_link.stl</x:v>
      </x:c>
      <x:c r="C15" s="359" t="str">
        <x:v>meshes/collision/rh_hip_link.stl</x:v>
      </x:c>
      <x:c r="D15" s="360" t="n">
        <x:v>0</x:v>
      </x:c>
      <x:c r="E15" s="360" t="n">
        <x:v>0</x:v>
      </x:c>
      <x:c r="F15" s="360" t="n">
        <x:v>0</x:v>
      </x:c>
      <x:c r="G15" s="361" t="n">
        <x:v>0</x:v>
      </x:c>
      <x:c r="H15" s="361" t="n">
        <x:v>0</x:v>
      </x:c>
      <x:c r="I15" s="361" t="n">
        <x:v>0</x:v>
      </x:c>
      <x:c r="J15" s="360" t="n">
        <x:v>0</x:v>
      </x:c>
      <x:c r="K15" s="360" t="n">
        <x:v>0</x:v>
      </x:c>
      <x:c r="L15" s="360" t="n">
        <x:v>0</x:v>
      </x:c>
      <x:c r="M15" s="361" t="n">
        <x:v>0</x:v>
      </x:c>
      <x:c r="N15" s="361" t="n">
        <x:v>0</x:v>
      </x:c>
      <x:c r="O15" s="361" t="n">
        <x:v>0</x:v>
      </x:c>
      <x:c r="P15" s="306">
        <x:f>Q15*1000</x:f>
        <x:v>50</x:v>
      </x:c>
      <x:c r="Q15" s="306">
        <x:f>Inertial_Properties!D14</x:f>
        <x:v>0.05</x:v>
      </x:c>
      <x:c r="R15" s="301" t="str">
        <x:v>CAD physical-property report</x:v>
      </x:c>
      <x:c r="S15" s="301" t="str">
        <x:v>lf_hip_link__physprop.txt (Solid Edge 2026-10-30)</x:v>
      </x:c>
      <x:c r="T15" s="301" t="str">
        <x:v>CoM available</x:v>
      </x:c>
      <x:c r="U15" s="301" t="str">
        <x:v>Tensor available</x:v>
      </x:c>
      <x:c r="V15" s="301" t="str">
        <x:v>URDF &lt;inertial&gt; inserted</x:v>
      </x:c>
      <x:c r="W15" s="301" t="str">
        <x:v>Simulation-ready · mesh scale=0.001</x:v>
      </x:c>
      <x:c r="X15" s="156" t="str">
        <x:v>0.001 0.001 0.001</x:v>
      </x:c>
      <x:c r="Y15" s="156" t="str">
        <x:v>0.001 0.001 0.001</x:v>
      </x:c>
      <x:c r="Z15" s="156" t="str">
        <x:v>mm</x:v>
      </x:c>
      <x:c r="AA15" s="156" t="str">
        <x:v>m</x:v>
      </x:c>
    </x:row>
    <x:row r="16" ht="19" customHeight="1">
      <x:c r="A16" s="362" t="str">
        <x:v>rh_upper_leg_link</x:v>
      </x:c>
      <x:c r="B16" s="362" t="str">
        <x:v>meshes/collision/rh_upper_leg_link.stl</x:v>
      </x:c>
      <x:c r="C16" s="362" t="str">
        <x:v>meshes/collision/rh_upper_leg_link.stl</x:v>
      </x:c>
      <x:c r="D16" s="363" t="n">
        <x:v>0</x:v>
      </x:c>
      <x:c r="E16" s="363" t="n">
        <x:v>0</x:v>
      </x:c>
      <x:c r="F16" s="363" t="n">
        <x:v>0</x:v>
      </x:c>
      <x:c r="G16" s="364" t="n">
        <x:v>0</x:v>
      </x:c>
      <x:c r="H16" s="364" t="n">
        <x:v>0</x:v>
      </x:c>
      <x:c r="I16" s="364" t="n">
        <x:v>0</x:v>
      </x:c>
      <x:c r="J16" s="363" t="n">
        <x:v>0</x:v>
      </x:c>
      <x:c r="K16" s="363" t="n">
        <x:v>0</x:v>
      </x:c>
      <x:c r="L16" s="363" t="n">
        <x:v>0</x:v>
      </x:c>
      <x:c r="M16" s="364" t="n">
        <x:v>0</x:v>
      </x:c>
      <x:c r="N16" s="364" t="n">
        <x:v>0</x:v>
      </x:c>
      <x:c r="O16" s="364" t="n">
        <x:v>0</x:v>
      </x:c>
      <x:c r="P16" s="306">
        <x:f>Q16*1000</x:f>
        <x:v>152</x:v>
      </x:c>
      <x:c r="Q16" s="306">
        <x:f>Inertial_Properties!D15</x:f>
        <x:v>0.152</x:v>
      </x:c>
      <x:c r="R16" s="301" t="str">
        <x:v>CAD physical-property report</x:v>
      </x:c>
      <x:c r="S16" s="301" t="str">
        <x:v>lf_upper_leg_link__physprop.txt (Solid Edge 2026-10-30)</x:v>
      </x:c>
      <x:c r="T16" s="301" t="str">
        <x:v>CoM available</x:v>
      </x:c>
      <x:c r="U16" s="301" t="str">
        <x:v>Tensor available</x:v>
      </x:c>
      <x:c r="V16" s="301" t="str">
        <x:v>URDF &lt;inertial&gt; inserted</x:v>
      </x:c>
      <x:c r="W16" s="301" t="str">
        <x:v>Simulation-ready · mesh scale=0.001</x:v>
      </x:c>
      <x:c r="X16" s="156" t="str">
        <x:v>0.001 0.001 0.001</x:v>
      </x:c>
      <x:c r="Y16" s="156" t="str">
        <x:v>0.001 0.001 0.001</x:v>
      </x:c>
      <x:c r="Z16" s="156" t="str">
        <x:v>mm</x:v>
      </x:c>
      <x:c r="AA16" s="156" t="str">
        <x:v>m</x:v>
      </x:c>
    </x:row>
    <x:row r="17" ht="19" customHeight="1">
      <x:c r="A17" s="359" t="str">
        <x:v>rh_lower_leg_link</x:v>
      </x:c>
      <x:c r="B17" s="359" t="str">
        <x:v>meshes/collision/rh_lower_leg_link.stl</x:v>
      </x:c>
      <x:c r="C17" s="359" t="str">
        <x:v>meshes/collision/rh_lower_leg_link.stl</x:v>
      </x:c>
      <x:c r="D17" s="360" t="n">
        <x:v>0</x:v>
      </x:c>
      <x:c r="E17" s="360" t="n">
        <x:v>0</x:v>
      </x:c>
      <x:c r="F17" s="360" t="n">
        <x:v>0</x:v>
      </x:c>
      <x:c r="G17" s="361" t="n">
        <x:v>0</x:v>
      </x:c>
      <x:c r="H17" s="361" t="n">
        <x:v>0</x:v>
      </x:c>
      <x:c r="I17" s="361" t="n">
        <x:v>0</x:v>
      </x:c>
      <x:c r="J17" s="360" t="n">
        <x:v>0</x:v>
      </x:c>
      <x:c r="K17" s="360" t="n">
        <x:v>0</x:v>
      </x:c>
      <x:c r="L17" s="360" t="n">
        <x:v>0</x:v>
      </x:c>
      <x:c r="M17" s="361" t="n">
        <x:v>0</x:v>
      </x:c>
      <x:c r="N17" s="361" t="n">
        <x:v>0</x:v>
      </x:c>
      <x:c r="O17" s="361" t="n">
        <x:v>0</x:v>
      </x:c>
      <x:c r="P17" s="306">
        <x:f>Q17*1000</x:f>
        <x:v>59</x:v>
      </x:c>
      <x:c r="Q17" s="306">
        <x:f>Inertial_Properties!D16</x:f>
        <x:v>0.059</x:v>
      </x:c>
      <x:c r="R17" s="301" t="str">
        <x:v>CAD physical-property report</x:v>
      </x:c>
      <x:c r="S17" s="301" t="str">
        <x:v>lf_lower_leg_link__physprop.txt (Solid Edge 2026-10-30)</x:v>
      </x:c>
      <x:c r="T17" s="301" t="str">
        <x:v>CoM available</x:v>
      </x:c>
      <x:c r="U17" s="301" t="str">
        <x:v>Tensor available</x:v>
      </x:c>
      <x:c r="V17" s="301" t="str">
        <x:v>URDF &lt;inertial&gt; inserted</x:v>
      </x:c>
      <x:c r="W17" s="301" t="str">
        <x:v>Simulation-ready · mesh scale=0.001</x:v>
      </x:c>
      <x:c r="X17" s="156" t="str">
        <x:v>0.001 0.001 0.001</x:v>
      </x:c>
      <x:c r="Y17" s="156" t="str">
        <x:v>0.001 0.001 0.001</x:v>
      </x:c>
      <x:c r="Z17" s="156" t="str">
        <x:v>mm</x:v>
      </x:c>
      <x:c r="AA17" s="156" t="str">
        <x:v>m</x:v>
      </x:c>
    </x:row>
    <x:row r="18" ht="19" customHeight="1">
      <x:c r="A18" s="359" t="str">
        <x:v>rh_foot_link</x:v>
      </x:c>
      <x:c r="B18" s="359" t="str">
        <x:v>meshes/collision/rh_foot_link.stl</x:v>
      </x:c>
      <x:c r="C18" s="359" t="str">
        <x:v>meshes/collision/rh_foot_link.stl</x:v>
      </x:c>
      <x:c r="D18" s="360" t="n">
        <x:v>0</x:v>
      </x:c>
      <x:c r="E18" s="360" t="n">
        <x:v>0</x:v>
      </x:c>
      <x:c r="F18" s="360" t="n">
        <x:v>0</x:v>
      </x:c>
      <x:c r="G18" s="361" t="n">
        <x:v>0</x:v>
      </x:c>
      <x:c r="H18" s="361" t="n">
        <x:v>0</x:v>
      </x:c>
      <x:c r="I18" s="361" t="n">
        <x:v>0</x:v>
      </x:c>
      <x:c r="J18" s="360" t="n">
        <x:v>0</x:v>
      </x:c>
      <x:c r="K18" s="360" t="n">
        <x:v>0</x:v>
      </x:c>
      <x:c r="L18" s="360" t="n">
        <x:v>0</x:v>
      </x:c>
      <x:c r="M18" s="361" t="n">
        <x:v>0</x:v>
      </x:c>
      <x:c r="N18" s="361" t="n">
        <x:v>0</x:v>
      </x:c>
      <x:c r="O18" s="361" t="n">
        <x:v>0</x:v>
      </x:c>
      <x:c r="P18" s="306">
        <x:f>Q18*1000</x:f>
        <x:v>14</x:v>
      </x:c>
      <x:c r="Q18" s="306">
        <x:f>Inertial_Properties!D17</x:f>
        <x:v>0.014</x:v>
      </x:c>
      <x:c r="R18" s="301" t="str">
        <x:v>CAD physical-property report</x:v>
      </x:c>
      <x:c r="S18" s="301" t="str">
        <x:v>lf_foot_link__physprop.txt (Solid Edge 2026-10-30)</x:v>
      </x:c>
      <x:c r="T18" s="301" t="str">
        <x:v>CoM available</x:v>
      </x:c>
      <x:c r="U18" s="301" t="str">
        <x:v>Tensor available</x:v>
      </x:c>
      <x:c r="V18" s="301" t="str">
        <x:v>URDF &lt;inertial&gt; inserted</x:v>
      </x:c>
      <x:c r="W18" s="301" t="str">
        <x:v>Simulation-ready · mesh scale=0.001</x:v>
      </x:c>
      <x:c r="X18" s="156" t="str">
        <x:v>0.001 0.001 0.001</x:v>
      </x:c>
      <x:c r="Y18" s="156" t="str">
        <x:v>0.001 0.001 0.001</x:v>
      </x:c>
      <x:c r="Z18" s="156" t="str">
        <x:v>mm</x:v>
      </x:c>
      <x:c r="AA18" s="156" t="str">
        <x:v>m</x:v>
      </x:c>
    </x:row>
    <x:row r="19" ht="19" customHeight="1">
      <x:c r="A19" s="359" t="str">
        <x:v>lh_hip_link</x:v>
      </x:c>
      <x:c r="B19" s="359" t="str">
        <x:v>meshes/collision/lh_hip_link.stl</x:v>
      </x:c>
      <x:c r="C19" s="359" t="str">
        <x:v>meshes/collision/lh_hip_link.stl</x:v>
      </x:c>
      <x:c r="D19" s="360" t="n">
        <x:v>0</x:v>
      </x:c>
      <x:c r="E19" s="360" t="n">
        <x:v>0</x:v>
      </x:c>
      <x:c r="F19" s="360" t="n">
        <x:v>0</x:v>
      </x:c>
      <x:c r="G19" s="361" t="n">
        <x:v>0</x:v>
      </x:c>
      <x:c r="H19" s="361" t="n">
        <x:v>0</x:v>
      </x:c>
      <x:c r="I19" s="361" t="n">
        <x:v>0</x:v>
      </x:c>
      <x:c r="J19" s="360" t="n">
        <x:v>0</x:v>
      </x:c>
      <x:c r="K19" s="360" t="n">
        <x:v>0</x:v>
      </x:c>
      <x:c r="L19" s="360" t="n">
        <x:v>0</x:v>
      </x:c>
      <x:c r="M19" s="361" t="n">
        <x:v>0</x:v>
      </x:c>
      <x:c r="N19" s="361" t="n">
        <x:v>0</x:v>
      </x:c>
      <x:c r="O19" s="361" t="n">
        <x:v>0</x:v>
      </x:c>
      <x:c r="P19" s="306">
        <x:f>Q19*1000</x:f>
        <x:v>50</x:v>
      </x:c>
      <x:c r="Q19" s="306">
        <x:f>Inertial_Properties!D18</x:f>
        <x:v>0.05</x:v>
      </x:c>
      <x:c r="R19" s="301" t="str">
        <x:v>CAD physical-property report</x:v>
      </x:c>
      <x:c r="S19" s="301" t="str">
        <x:v>lf_hip_link__physprop.txt (Solid Edge 2026-10-30)</x:v>
      </x:c>
      <x:c r="T19" s="301" t="str">
        <x:v>CoM available</x:v>
      </x:c>
      <x:c r="U19" s="301" t="str">
        <x:v>Tensor available</x:v>
      </x:c>
      <x:c r="V19" s="301" t="str">
        <x:v>URDF &lt;inertial&gt; inserted</x:v>
      </x:c>
      <x:c r="W19" s="301" t="str">
        <x:v>Simulation-ready · mesh scale=0.001</x:v>
      </x:c>
      <x:c r="X19" s="156" t="str">
        <x:v>0.001 0.001 0.001</x:v>
      </x:c>
      <x:c r="Y19" s="156" t="str">
        <x:v>0.001 0.001 0.001</x:v>
      </x:c>
      <x:c r="Z19" s="156" t="str">
        <x:v>mm</x:v>
      </x:c>
      <x:c r="AA19" s="156" t="str">
        <x:v>m</x:v>
      </x:c>
    </x:row>
    <x:row r="20" ht="19" customHeight="1">
      <x:c r="A20" s="362" t="str">
        <x:v>lh_upper_leg_link</x:v>
      </x:c>
      <x:c r="B20" s="362" t="str">
        <x:v>meshes/collision/lh_upper_leg_link.stl</x:v>
      </x:c>
      <x:c r="C20" s="362" t="str">
        <x:v>meshes/collision/lh_upper_leg_link.stl</x:v>
      </x:c>
      <x:c r="D20" s="363" t="n">
        <x:v>0</x:v>
      </x:c>
      <x:c r="E20" s="363" t="n">
        <x:v>0</x:v>
      </x:c>
      <x:c r="F20" s="363" t="n">
        <x:v>0</x:v>
      </x:c>
      <x:c r="G20" s="364" t="n">
        <x:v>0</x:v>
      </x:c>
      <x:c r="H20" s="364" t="n">
        <x:v>0</x:v>
      </x:c>
      <x:c r="I20" s="364" t="n">
        <x:v>0</x:v>
      </x:c>
      <x:c r="J20" s="363" t="n">
        <x:v>0</x:v>
      </x:c>
      <x:c r="K20" s="363" t="n">
        <x:v>0</x:v>
      </x:c>
      <x:c r="L20" s="363" t="n">
        <x:v>0</x:v>
      </x:c>
      <x:c r="M20" s="364" t="n">
        <x:v>0</x:v>
      </x:c>
      <x:c r="N20" s="364" t="n">
        <x:v>0</x:v>
      </x:c>
      <x:c r="O20" s="364" t="n">
        <x:v>0</x:v>
      </x:c>
      <x:c r="P20" s="306">
        <x:f>Q20*1000</x:f>
        <x:v>152</x:v>
      </x:c>
      <x:c r="Q20" s="306">
        <x:f>Inertial_Properties!D19</x:f>
        <x:v>0.152</x:v>
      </x:c>
      <x:c r="R20" s="301" t="str">
        <x:v>CAD physical-property report</x:v>
      </x:c>
      <x:c r="S20" s="301" t="str">
        <x:v>lf_upper_leg_link__physprop.txt (Solid Edge 2026-10-30)</x:v>
      </x:c>
      <x:c r="T20" s="301" t="str">
        <x:v>CoM available</x:v>
      </x:c>
      <x:c r="U20" s="301" t="str">
        <x:v>Tensor available</x:v>
      </x:c>
      <x:c r="V20" s="301" t="str">
        <x:v>URDF &lt;inertial&gt; inserted</x:v>
      </x:c>
      <x:c r="W20" s="301" t="str">
        <x:v>Simulation-ready · mesh scale=0.001</x:v>
      </x:c>
      <x:c r="X20" s="156" t="str">
        <x:v>0.001 0.001 0.001</x:v>
      </x:c>
      <x:c r="Y20" s="156" t="str">
        <x:v>0.001 0.001 0.001</x:v>
      </x:c>
      <x:c r="Z20" s="156" t="str">
        <x:v>mm</x:v>
      </x:c>
      <x:c r="AA20" s="156" t="str">
        <x:v>m</x:v>
      </x:c>
    </x:row>
    <x:row r="21" ht="19" customHeight="1">
      <x:c r="A21" s="359" t="str">
        <x:v>lh_lower_leg_link</x:v>
      </x:c>
      <x:c r="B21" s="359" t="str">
        <x:v>meshes/collision/lh_lower_leg_link.stl</x:v>
      </x:c>
      <x:c r="C21" s="359" t="str">
        <x:v>meshes/collision/lh_lower_leg_link.stl</x:v>
      </x:c>
      <x:c r="D21" s="360" t="n">
        <x:v>0</x:v>
      </x:c>
      <x:c r="E21" s="360" t="n">
        <x:v>0</x:v>
      </x:c>
      <x:c r="F21" s="360" t="n">
        <x:v>0</x:v>
      </x:c>
      <x:c r="G21" s="361" t="n">
        <x:v>0</x:v>
      </x:c>
      <x:c r="H21" s="361" t="n">
        <x:v>0</x:v>
      </x:c>
      <x:c r="I21" s="361" t="n">
        <x:v>0</x:v>
      </x:c>
      <x:c r="J21" s="360" t="n">
        <x:v>0</x:v>
      </x:c>
      <x:c r="K21" s="360" t="n">
        <x:v>0</x:v>
      </x:c>
      <x:c r="L21" s="360" t="n">
        <x:v>0</x:v>
      </x:c>
      <x:c r="M21" s="361" t="n">
        <x:v>0</x:v>
      </x:c>
      <x:c r="N21" s="361" t="n">
        <x:v>0</x:v>
      </x:c>
      <x:c r="O21" s="361" t="n">
        <x:v>0</x:v>
      </x:c>
      <x:c r="P21" s="306">
        <x:f>Q21*1000</x:f>
        <x:v>59</x:v>
      </x:c>
      <x:c r="Q21" s="306">
        <x:f>Inertial_Properties!D20</x:f>
        <x:v>0.059</x:v>
      </x:c>
      <x:c r="R21" s="301" t="str">
        <x:v>CAD physical-property report</x:v>
      </x:c>
      <x:c r="S21" s="301" t="str">
        <x:v>lf_lower_leg_link__physprop.txt (Solid Edge 2026-10-30)</x:v>
      </x:c>
      <x:c r="T21" s="301" t="str">
        <x:v>CoM available</x:v>
      </x:c>
      <x:c r="U21" s="301" t="str">
        <x:v>Tensor available</x:v>
      </x:c>
      <x:c r="V21" s="301" t="str">
        <x:v>URDF &lt;inertial&gt; inserted</x:v>
      </x:c>
      <x:c r="W21" s="301" t="str">
        <x:v>Simulation-ready · mesh scale=0.001</x:v>
      </x:c>
      <x:c r="X21" s="156" t="str">
        <x:v>0.001 0.001 0.001</x:v>
      </x:c>
      <x:c r="Y21" s="156" t="str">
        <x:v>0.001 0.001 0.001</x:v>
      </x:c>
      <x:c r="Z21" s="156" t="str">
        <x:v>mm</x:v>
      </x:c>
      <x:c r="AA21" s="156" t="str">
        <x:v>m</x:v>
      </x:c>
    </x:row>
    <x:row r="22" ht="19" customHeight="1">
      <x:c r="A22" s="359" t="str">
        <x:v>lh_foot_link</x:v>
      </x:c>
      <x:c r="B22" s="359" t="str">
        <x:v>meshes/collision/lh_foot_link.stl</x:v>
      </x:c>
      <x:c r="C22" s="359" t="str">
        <x:v>meshes/collision/lh_foot_link.stl</x:v>
      </x:c>
      <x:c r="D22" s="360" t="n">
        <x:v>0</x:v>
      </x:c>
      <x:c r="E22" s="360" t="n">
        <x:v>0</x:v>
      </x:c>
      <x:c r="F22" s="360" t="n">
        <x:v>0</x:v>
      </x:c>
      <x:c r="G22" s="361" t="n">
        <x:v>0</x:v>
      </x:c>
      <x:c r="H22" s="361" t="n">
        <x:v>0</x:v>
      </x:c>
      <x:c r="I22" s="361" t="n">
        <x:v>0</x:v>
      </x:c>
      <x:c r="J22" s="360" t="n">
        <x:v>0</x:v>
      </x:c>
      <x:c r="K22" s="360" t="n">
        <x:v>0</x:v>
      </x:c>
      <x:c r="L22" s="360" t="n">
        <x:v>0</x:v>
      </x:c>
      <x:c r="M22" s="361" t="n">
        <x:v>0</x:v>
      </x:c>
      <x:c r="N22" s="361" t="n">
        <x:v>0</x:v>
      </x:c>
      <x:c r="O22" s="361" t="n">
        <x:v>0</x:v>
      </x:c>
      <x:c r="P22" s="306">
        <x:f>Q22*1000</x:f>
        <x:v>14</x:v>
      </x:c>
      <x:c r="Q22" s="306">
        <x:f>Inertial_Properties!D21</x:f>
        <x:v>0.014</x:v>
      </x:c>
      <x:c r="R22" s="301" t="str">
        <x:v>CAD physical-property report</x:v>
      </x:c>
      <x:c r="S22" s="301" t="str">
        <x:v>lf_foot_link__physprop.txt (Solid Edge 2026-10-30)</x:v>
      </x:c>
      <x:c r="T22" s="301" t="str">
        <x:v>CoM available</x:v>
      </x:c>
      <x:c r="U22" s="301" t="str">
        <x:v>Tensor available</x:v>
      </x:c>
      <x:c r="V22" s="301" t="str">
        <x:v>URDF &lt;inertial&gt; inserted</x:v>
      </x:c>
      <x:c r="W22" s="301" t="str">
        <x:v>Simulation-ready · mesh scale=0.001</x:v>
      </x:c>
      <x:c r="X22" s="156" t="str">
        <x:v>0.001 0.001 0.001</x:v>
      </x:c>
      <x:c r="Y22" s="156" t="str">
        <x:v>0.001 0.001 0.001</x:v>
      </x:c>
      <x:c r="Z22" s="156" t="str">
        <x:v>mm</x:v>
      </x:c>
      <x:c r="AA22" s="156" t="str">
        <x:v>m</x:v>
      </x:c>
    </x:row>
    <x:row r="24">
      <x:c r="A24" s="179" t="str">
        <x:v>Nota di allocazione: i 4 g di fasteners misurati per ciascuna zampa sono assegnati provvisoriamente all’hip link per preservare il totale reale di 316 g/leg. Questa è una convenzione di massa per link; i baricentri e le inerzie verranno poi sostituiti con proprietà CAD misurate.</x:v>
      </x:c>
      <x:c r="B24" s="180"/>
      <x:c r="C24" s="180"/>
      <x:c r="D24" s="180"/>
      <x:c r="E24" s="180"/>
      <x:c r="F24" s="180"/>
      <x:c r="G24" s="180"/>
      <x:c r="H24" s="180"/>
      <x:c r="I24" s="180"/>
      <x:c r="J24" s="180"/>
      <x:c r="K24" s="180"/>
      <x:c r="L24" s="180"/>
      <x:c r="M24" s="180"/>
      <x:c r="N24" s="180"/>
      <x:c r="O24" s="180"/>
      <x:c r="P24" s="180"/>
      <x:c r="Q24" s="180"/>
      <x:c r="R24" s="180"/>
      <x:c r="S24" s="180"/>
      <x:c r="T24" s="180"/>
      <x:c r="U24" s="180"/>
      <x:c r="V24" s="180"/>
      <x:c r="W24" s="181"/>
    </x:row>
    <x:row r="25">
      <x:c r="A25" s="182"/>
      <x:c r="B25" s="183"/>
      <x:c r="C25" s="183"/>
      <x:c r="D25" s="183"/>
      <x:c r="E25" s="183"/>
      <x:c r="F25" s="183"/>
      <x:c r="G25" s="183"/>
      <x:c r="H25" s="183"/>
      <x:c r="I25" s="183"/>
      <x:c r="J25" s="183"/>
      <x:c r="K25" s="183"/>
      <x:c r="L25" s="183"/>
      <x:c r="M25" s="183"/>
      <x:c r="N25" s="183"/>
      <x:c r="O25" s="183"/>
      <x:c r="P25" s="183"/>
      <x:c r="Q25" s="183"/>
      <x:c r="R25" s="183"/>
      <x:c r="S25" s="183"/>
      <x:c r="T25" s="183"/>
      <x:c r="U25" s="183"/>
      <x:c r="V25" s="183"/>
      <x:c r="W25" s="184"/>
    </x:row>
  </x:sheetData>
  <x:mergeCells>
    <x:mergeCell ref="A1:W1"/>
    <x:mergeCell ref="A2:W2"/>
    <x:mergeCell ref="A24:W25"/>
  </x:mergeCells>
  <x:pageMargins left="0.7" right="0.7" top="0.75" bottom="0.75" header="0.3" footer="0.3"/>
  <x:tableParts count="1">
    <x:tablePart xmlns:r="http://schemas.openxmlformats.org/officeDocument/2006/relationships" r:id="Rdb06a6cc5bb6411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9" hidden="0" customWidth="1"/>
    <x:col min="3" max="3" width="10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MATDOG — Riferimento cinematica REV01-FIX (modello matt_robodog_rev00)</x:v>
      </x:c>
      <x:c r="B1" s="5"/>
      <x:c r="C1" s="5"/>
      <x:c r="D1" s="5"/>
      <x:c r="E1" s="5"/>
      <x:c r="F1" s="5"/>
      <x:c r="G1" s="5"/>
      <x:c r="H1" s="5"/>
    </x:row>
    <x:row r="3">
      <x:c r="A3" s="90" t="str">
        <x:v>Documento</x:v>
      </x:c>
      <x:c r="B3" s="43" t="str">
        <x:v>Coordinate Cinematiche — Canonical</x:v>
      </x:c>
    </x:row>
    <x:row r="4">
      <x:c r="A4" s="90" t="str">
        <x:v>Robot</x:v>
      </x:c>
      <x:c r="B4" s="43" t="str">
        <x:v>matt_robodog_rev00</x:v>
      </x:c>
    </x:row>
    <x:row r="5">
      <x:c r="A5" s="90" t="str">
        <x:v>File URDF finale</x:v>
      </x:c>
      <x:c r="B5" s="43" t="str">
        <x:v>matt_robodog_rev00.urdf</x:v>
      </x:c>
      <x:c r="C5"/>
    </x:row>
    <x:row r="6">
      <x:c r="A6" s="90" t="str">
        <x:v>Stato</x:v>
      </x:c>
      <x:c r="B6" s="95" t="str">
        <x:v>Baseline cinematica + dinamica + scala mesh approvata</x:v>
      </x:c>
      <x:c r="C6"/>
    </x:row>
    <x:row r="8">
      <x:c r="A8" s="100" t="str">
        <x:v>Convenzioni di riferimento</x:v>
      </x:c>
      <x:c r="B8" s="100"/>
      <x:c r="C8" s="100"/>
      <x:c r="D8" s="100"/>
      <x:c r="E8" s="100"/>
      <x:c r="F8" s="100"/>
      <x:c r="G8" s="100"/>
      <x:c r="H8" s="100"/>
    </x:row>
    <x:row r="9" ht="24" customHeight="1">
      <x:c r="A9" s="52" t="str">
        <x:v>1</x:v>
      </x:c>
      <x:c r="B9" s="111" t="str">
        <x:v>Frame robot ROS</x:v>
      </x:c>
      <x:c r="C9" s="115" t="str">
        <x:v>X avanti · Y sinistra · Z alto · sistema destrorso.</x:v>
      </x:c>
      <x:c r="D9" s="115"/>
      <x:c r="E9" s="115"/>
      <x:c r="F9" s="115"/>
      <x:c r="G9" s="115"/>
      <x:c r="H9" s="115"/>
    </x:row>
    <x:row r="10" ht="24" customHeight="1">
      <x:c r="A10" s="52" t="str">
        <x:v>2</x:v>
      </x:c>
      <x:c r="B10" s="111" t="str">
        <x:v>Origine joint</x:v>
      </x:c>
      <x:c r="C10" s="115" t="str">
        <x:v>Ogni xyz di joint è espresso nel frame del parent link.</x:v>
      </x:c>
      <x:c r="D10" s="115"/>
      <x:c r="E10" s="115"/>
      <x:c r="F10" s="115"/>
      <x:c r="G10" s="115"/>
      <x:c r="H10" s="115"/>
    </x:row>
    <x:row r="11" ht="24" customHeight="1">
      <x:c r="A11" s="52" t="str">
        <x:v>3</x:v>
      </x:c>
      <x:c r="B11" s="111" t="str">
        <x:v>Frame mesh</x:v>
      </x:c>
      <x:c r="C11" s="115" t="str">
        <x:v>Ogni origin di visual/collision è espresso nel frame del link.</x:v>
      </x:c>
      <x:c r="D11" s="115"/>
      <x:c r="E11" s="115"/>
      <x:c r="F11" s="115"/>
      <x:c r="G11" s="115"/>
      <x:c r="H11" s="115"/>
    </x:row>
    <x:row r="12" ht="24" customHeight="1">
      <x:c r="A12" s="52" t="str">
        <x:v>4</x:v>
      </x:c>
      <x:c r="B12" s="111" t="str">
        <x:v>Collisione attuale</x:v>
      </x:c>
      <x:c r="C12" s="115" t="str">
        <x:v>Visual e collision usano la stessa STL per link (meshes/collision/&lt;link&gt;.stl): valida per verifica geometrica; non ancora ottimizzata per fisica.</x:v>
      </x:c>
      <x:c r="D12" s="115"/>
      <x:c r="E12" s="115"/>
      <x:c r="F12" s="115"/>
      <x:c r="G12" s="115"/>
      <x:c r="H12" s="115"/>
    </x:row>
    <x:row r="13" ht="24" customHeight="1">
      <x:c r="A13" s="52" t="str">
        <x:v>5</x:v>
      </x:c>
      <x:c r="B13" s="111" t="str">
        <x:v>Assi cinematici</x:v>
      </x:c>
      <x:c r="C13" s="115" t="str">
        <x:v>Hip: +X · Upper/Lower: +Y · Fixed foot: nessun asse.</x:v>
      </x:c>
      <x:c r="D13" s="115"/>
      <x:c r="E13" s="115"/>
      <x:c r="F13" s="115"/>
      <x:c r="G13" s="115"/>
      <x:c r="H13" s="115"/>
    </x:row>
    <x:row r="14" ht="24" customHeight="1">
      <x:c r="A14" s="52" t="str">
        <x:v>6</x:v>
      </x:c>
      <x:c r="B14" s="111" t="str">
        <x:v>Unità URDF</x:v>
      </x:c>
      <x:c r="C14" s="115" t="str">
        <x:v>Metri · radianti · rad/s · N·m.</x:v>
      </x:c>
      <x:c r="D14" s="115"/>
      <x:c r="E14" s="115"/>
      <x:c r="F14" s="115"/>
      <x:c r="G14" s="115"/>
      <x:c r="H14" s="115"/>
    </x:row>
    <x:row r="15">
      <x:c r="A15" t="str">
        <x:v>7</x:v>
      </x:c>
      <x:c r="B15" t="str">
        <x:v>Unità mesh STL</x:v>
      </x:c>
      <x:c r="C15" s="156" t="str">
        <x:v>Vertici STL esportati dal CAD in mm. In ogni mesh visual e collision URDF: scale="0.001 0.001 0.001"; joint, CoM e inerzie restano in unità SI.</x:v>
      </x:c>
    </x:row>
    <x:row r="16">
      <x:c r="A16" s="121" t="str">
        <x:v>Correzioni finali incorporate in questa revisione</x:v>
      </x:c>
      <x:c r="B16" s="121"/>
      <x:c r="C16" s="121"/>
      <x:c r="D16" s="121"/>
      <x:c r="E16" s="121"/>
      <x:c r="F16" s="121"/>
      <x:c r="G16" s="121"/>
      <x:c r="H16" s="121"/>
    </x:row>
    <x:row r="17" ht="24" customHeight="1">
      <x:c r="A17" s="29" t="str">
        <x:v>✓</x:v>
      </x:c>
      <x:c r="B17" s="82" t="str">
        <x:v>lh_hip_joint</x:v>
      </x:c>
      <x:c r="C17" s="115" t="str">
        <x:v>X = -112.5 mm: nodo posteriore sinistro corretto.</x:v>
      </x:c>
      <x:c r="D17" s="115"/>
      <x:c r="E17" s="115"/>
      <x:c r="F17" s="115"/>
      <x:c r="G17" s="115"/>
      <x:c r="H17" s="115"/>
    </x:row>
    <x:row r="18" ht="24" customHeight="1">
      <x:c r="A18" s="29" t="str">
        <x:v>✓</x:v>
      </x:c>
      <x:c r="B18" s="82" t="str">
        <x:v>upper_leg_joint (×4)</x:v>
      </x:c>
      <x:c r="C18" s="115" t="str">
        <x:v>Limiti corretti: θmin = -52.5° · θmax = +122.5°.</x:v>
      </x:c>
      <x:c r="D18" s="115"/>
      <x:c r="E18" s="115"/>
      <x:c r="F18" s="115"/>
      <x:c r="G18" s="115"/>
      <x:c r="H18" s="115"/>
    </x:row>
    <x:row r="19" ht="24" customHeight="1">
      <x:c r="A19" s="29" t="str">
        <x:v>✓</x:v>
      </x:c>
      <x:c r="B19" s="82" t="str">
        <x:v>lower_leg_joint (×4)</x:v>
      </x:c>
      <x:c r="C19" s="115" t="str">
        <x:v>Limiti corretti: θmin = -92.0° · θmax = +37.5°.</x:v>
      </x:c>
      <x:c r="D19" s="115"/>
      <x:c r="E19" s="115"/>
      <x:c r="F19" s="115"/>
      <x:c r="G19" s="115"/>
      <x:c r="H19" s="115"/>
    </x:row>
    <x:row r="20" ht="24" customHeight="1">
      <x:c r="A20" s="29" t="str">
        <x:v>✓</x:v>
      </x:c>
      <x:c r="B20" s="82" t="str">
        <x:v>Mesh origins (tutti i link)</x:v>
      </x:c>
      <x:c r="C20" s="115" t="str">
        <x:v>Visual + collision: xyz = 0, 0, 0 m · rpy = 0°, 0°, 0°.</x:v>
      </x:c>
      <x:c r="D20" s="115"/>
      <x:c r="E20" s="115"/>
      <x:c r="F20" s="115"/>
      <x:c r="G20" s="115"/>
      <x:c r="H20" s="115"/>
    </x:row>
    <x:row r="21" ht="24" customHeight="1">
      <x:c r="A21" s="29" t="str">
        <x:v>✓</x:v>
      </x:c>
      <x:c r="B21" s="82" t="str">
        <x:v>foot_joint (×4)</x:v>
      </x:c>
      <x:c r="C21" s="115" t="str">
        <x:v>Nomi corretti: joint fisso tra lower_leg_link e foot_link.</x:v>
      </x:c>
      <x:c r="D21" s="115"/>
      <x:c r="E21" s="115"/>
      <x:c r="F21" s="115"/>
      <x:c r="G21" s="115"/>
      <x:c r="H21" s="115"/>
    </x:row>
    <x:row r="22">
      <x:c r="A22" s="382" t="str">
        <x:v>Proprietà dinamiche REV01-FIX (Solid Edge 2026-10-30)</x:v>
      </x:c>
      <x:c r="B22" s="382"/>
      <x:c r="C22" s="382"/>
    </x:row>
    <x:row r="23" ht="20" customHeight="1">
      <x:c r="A23" s="383" t="str">
        <x:v>1</x:v>
      </x:c>
      <x:c r="B23" s="383" t="str">
        <x:v>Masse per link</x:v>
      </x:c>
      <x:c r="C23" s="383" t="str">
        <x:v>Masse per-link dai report Solid Edge 2026-10-30: totale 17-link = 2.928 kg (assieme 2.937 kg, residuo 9 g = risoluzione 1 g). Vedi Mass_Reconciliation.</x:v>
      </x:c>
    </x:row>
    <x:row r="24" ht="34" customHeight="1">
      <x:c r="A24" s="384" t="str">
        <x:v>2</x:v>
      </x:c>
      <x:c r="B24" s="301" t="str">
        <x:v>Centro di massa</x:v>
      </x:c>
      <x:c r="C24" s="301" t="str">
        <x:v>CoM per-link importati dal CAD in metri, espressi nel frame locale URDF.</x:v>
      </x:c>
    </x:row>
    <x:row r="25" ht="34" customHeight="1">
      <x:c r="A25" s="384" t="str">
        <x:v>3</x:v>
      </x:c>
      <x:c r="B25" s="301" t="str">
        <x:v>Inerzia</x:v>
      </x:c>
      <x:c r="C25" s="301" t="str">
        <x:v>Tensori al CoM ricostruiti da assi principali + raggi di girazione CAD e inseriti come blocchi &lt;inertial&gt; (configurazione nominale con Jetson Orin).</x:v>
      </x:c>
    </x:row>
    <x:row r="26" ht="34" customHeight="1">
      <x:c r="A26" s="384" t="str">
        <x:v>4</x:v>
      </x:c>
      <x:c r="B26" s="301" t="str">
        <x:v>Validazione</x:v>
      </x:c>
      <x:c r="C26" s="301" t="str">
        <x:v>Somma 17 link vs assieme CAD: scarto massimo CoM 0.42 mm; momenti principali entro 1 %.</x:v>
      </x:c>
    </x:row>
    <x:row r="27" ht="34" customHeight="1">
      <x:c r="A27" s="384" t="str">
        <x:v>5</x:v>
      </x:c>
      <x:c r="B27" s="301" t="str">
        <x:v>Neck yaw actuator</x:v>
      </x:c>
      <x:c r="C27" s="301" t="str">
        <x:v>Nessun link separato: non è stato aggiunto senza un report CAD della sua posa montata.</x:v>
      </x:c>
    </x:row>
  </x:sheetData>
  <x:mergeCells>
    <x:mergeCell ref="A1:H1"/>
    <x:mergeCell ref="A8:H8"/>
    <x:mergeCell ref="C9:H9"/>
    <x:mergeCell ref="C10:H10"/>
    <x:mergeCell ref="C11:H11"/>
    <x:mergeCell ref="C12:H12"/>
    <x:mergeCell ref="C13:H13"/>
    <x:mergeCell ref="C14:H14"/>
    <x:mergeCell ref="A16:H16"/>
    <x:mergeCell ref="C17:H17"/>
    <x:mergeCell ref="C18:H18"/>
    <x:mergeCell ref="C19:H19"/>
    <x:mergeCell ref="C20:H20"/>
    <x:mergeCell ref="C21:H21"/>
    <x:mergeCell ref="A23:C2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0" hidden="0" customWidth="1"/>
    <x:col min="3" max="3" width="32" hidden="0" customWidth="1"/>
    <x:col min="4" max="4" width="13" hidden="0" customWidth="1"/>
    <x:col min="5" max="5" width="13" hidden="0" customWidth="1"/>
    <x:col min="6" max="6" width="28" hidden="0" customWidth="1"/>
    <x:col min="7" max="7" width="32" hidden="0" customWidth="1"/>
    <x:col min="8" max="8" width="46" hidden="0" customWidth="1"/>
    <x:col min="9" max="9" width="52" hidden="0" customWidth="1"/>
    <x:col min="10" max="10" width="36" hidden="0" customWidth="1"/>
    <x:col min="11" max="11" width="34" hidden="0" customWidth="1"/>
  </x:cols>
  <x:sheetData>
    <x:row r="1" ht="24" customHeight="1">
      <x:c r="A1" s="289" t="str">
        <x:v>MATDOG — Proprietà fisiche per link URDF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</x:row>
    <x:row r="2" ht="36" customHeight="1">
      <x:c r="A2" s="294" t="str">
        <x:v>Masse, CoM e inerzie dinamiche sono definite dai report Solid Edge del 2026-10-30. Il foglio Inertial_Properties è la sorgente canonica dei valori URDF (le masse qui sono formule verso di esso); Engineering_Weight_Source resta un confronto storico.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</x:row>
    <x:row r="4">
      <x:c r="A4" s="345" t="str">
        <x:v>Link</x:v>
      </x:c>
      <x:c r="B4" s="345" t="str">
        <x:v>Zone</x:v>
      </x:c>
      <x:c r="C4" s="345" t="str">
        <x:v>URDF mesh</x:v>
      </x:c>
      <x:c r="D4" s="345" t="str">
        <x:v>Mass [g]</x:v>
      </x:c>
      <x:c r="E4" s="345" t="str">
        <x:v>Mass [kg]</x:v>
      </x:c>
      <x:c r="F4" s="345" t="str">
        <x:v>Assembly grouping</x:v>
      </x:c>
      <x:c r="G4" s="345" t="str">
        <x:v>Material composition</x:v>
      </x:c>
      <x:c r="H4" s="345" t="str">
        <x:v>Components from Engineering_Data</x:v>
      </x:c>
      <x:c r="I4" s="345" t="str">
        <x:v>Fastener allocation</x:v>
      </x:c>
      <x:c r="J4" s="345" t="str">
        <x:v>Inertial status</x:v>
      </x:c>
      <x:c r="K4" s="345" t="str">
        <x:v>URDF status</x:v>
      </x:c>
    </x:row>
    <x:row r="5">
      <x:c r="A5" s="328" t="str">
        <x:v>base_link</x:v>
      </x:c>
      <x:c r="B5" s="328" t="str">
        <x:v>Body</x:v>
      </x:c>
      <x:c r="C5" s="328" t="str">
        <x:v>meshes/collision/base_link.stl</x:v>
      </x:c>
      <x:c r="D5" s="329">
        <x:f>E5*1000</x:f>
        <x:v>1828</x:v>
      </x:c>
      <x:c r="E5" s="329">
        <x:f>Inertial_Properties!D5</x:f>
        <x:v>1.828</x:v>
      </x:c>
      <x:c r="F5" s="328" t="str">
        <x:v>CAD physical-property subassembly</x:v>
      </x:c>
      <x:c r="G5" s="328" t="str">
        <x:v>Mass reconciliation + Solid Edge report</x:v>
      </x:c>
      <x:c r="H5" s="328" t="str">
        <x:v>base_link__physprop.txt (Solid Edge 2026-10-30)</x:v>
      </x:c>
      <x:c r="I5" s="328" t="str">
        <x:v>Direct CAD</x:v>
      </x:c>
      <x:c r="J5" s="328" t="str">
        <x:v>CoM + inertia tensor reconstructed at CoM</x:v>
      </x:c>
      <x:c r="K5" s="328" t="str">
        <x:v>Standard URDF &lt;inertial&gt; inserted</x:v>
      </x:c>
    </x:row>
    <x:row r="6">
      <x:c r="A6" s="331" t="str">
        <x:v>lf_hip_link</x:v>
      </x:c>
      <x:c r="B6" s="331" t="str">
        <x:v>LF</x:v>
      </x:c>
      <x:c r="C6" s="331" t="str">
        <x:v>meshes/collision/lf_hip_link.stl</x:v>
      </x:c>
      <x:c r="D6" s="332">
        <x:f>E6*1000</x:f>
        <x:v>50</x:v>
      </x:c>
      <x:c r="E6" s="332">
        <x:f>Inertial_Properties!D6</x:f>
        <x:v>0.05</x:v>
      </x:c>
      <x:c r="F6" s="331" t="str">
        <x:v>CAD physical-property subassembly</x:v>
      </x:c>
      <x:c r="G6" s="331" t="str">
        <x:v>Mass reconciliation + Solid Edge report</x:v>
      </x:c>
      <x:c r="H6" s="331" t="str">
        <x:v>lf_hip_link__physprop.txt (Solid Edge 2026-10-30)</x:v>
      </x:c>
      <x:c r="I6" s="331" t="str">
        <x:v>Direct CAD</x:v>
      </x:c>
      <x:c r="J6" s="331" t="str">
        <x:v>CoM + inertia tensor reconstructed at CoM</x:v>
      </x:c>
      <x:c r="K6" s="331" t="str">
        <x:v>Standard URDF &lt;inertial&gt; inserted</x:v>
      </x:c>
    </x:row>
    <x:row r="7">
      <x:c r="A7" s="334" t="str">
        <x:v>lf_upper_leg_link</x:v>
      </x:c>
      <x:c r="B7" s="334" t="str">
        <x:v>LF</x:v>
      </x:c>
      <x:c r="C7" s="334" t="str">
        <x:v>meshes/collision/lf_upper_leg_link.stl</x:v>
      </x:c>
      <x:c r="D7" s="335">
        <x:f>E7*1000</x:f>
        <x:v>152</x:v>
      </x:c>
      <x:c r="E7" s="335">
        <x:f>Inertial_Properties!D7</x:f>
        <x:v>0.152</x:v>
      </x:c>
      <x:c r="F7" s="334" t="str">
        <x:v>CAD physical-property subassembly</x:v>
      </x:c>
      <x:c r="G7" s="334" t="str">
        <x:v>Mass reconciliation + Solid Edge report</x:v>
      </x:c>
      <x:c r="H7" s="334" t="str">
        <x:v>lf_upper_leg_link__physprop.txt (Solid Edge 2026-10-30)</x:v>
      </x:c>
      <x:c r="I7" s="334" t="str">
        <x:v>Direct CAD</x:v>
      </x:c>
      <x:c r="J7" s="334" t="str">
        <x:v>CoM + inertia tensor reconstructed at CoM</x:v>
      </x:c>
      <x:c r="K7" s="334" t="str">
        <x:v>Standard URDF &lt;inertial&gt; inserted</x:v>
      </x:c>
    </x:row>
    <x:row r="8">
      <x:c r="A8" s="337" t="str">
        <x:v>lf_lower_leg_link</x:v>
      </x:c>
      <x:c r="B8" s="337" t="str">
        <x:v>LF</x:v>
      </x:c>
      <x:c r="C8" s="337" t="str">
        <x:v>meshes/collision/lf_lower_leg_link.stl</x:v>
      </x:c>
      <x:c r="D8" s="338">
        <x:f>E8*1000</x:f>
        <x:v>59</x:v>
      </x:c>
      <x:c r="E8" s="338">
        <x:f>Inertial_Properties!D8</x:f>
        <x:v>0.059</x:v>
      </x:c>
      <x:c r="F8" s="337" t="str">
        <x:v>CAD physical-property subassembly</x:v>
      </x:c>
      <x:c r="G8" s="337" t="str">
        <x:v>Mass reconciliation + Solid Edge report</x:v>
      </x:c>
      <x:c r="H8" s="337" t="str">
        <x:v>lf_lower_leg_link__physprop.txt (Solid Edge 2026-10-30)</x:v>
      </x:c>
      <x:c r="I8" s="337" t="str">
        <x:v>Direct CAD</x:v>
      </x:c>
      <x:c r="J8" s="337" t="str">
        <x:v>CoM + inertia tensor reconstructed at CoM</x:v>
      </x:c>
      <x:c r="K8" s="337" t="str">
        <x:v>Standard URDF &lt;inertial&gt; inserted</x:v>
      </x:c>
    </x:row>
    <x:row r="9">
      <x:c r="A9" s="340" t="str">
        <x:v>lf_foot_link</x:v>
      </x:c>
      <x:c r="B9" s="340" t="str">
        <x:v>LF</x:v>
      </x:c>
      <x:c r="C9" s="340" t="str">
        <x:v>meshes/collision/lf_foot_link.stl</x:v>
      </x:c>
      <x:c r="D9" s="341">
        <x:f>E9*1000</x:f>
        <x:v>14</x:v>
      </x:c>
      <x:c r="E9" s="341">
        <x:f>Inertial_Properties!D9</x:f>
        <x:v>0.014</x:v>
      </x:c>
      <x:c r="F9" s="340" t="str">
        <x:v>CAD physical-property subassembly</x:v>
      </x:c>
      <x:c r="G9" s="340" t="str">
        <x:v>Mass reconciliation + Solid Edge report</x:v>
      </x:c>
      <x:c r="H9" s="340" t="str">
        <x:v>lf_foot_link__physprop.txt (Solid Edge 2026-10-30)</x:v>
      </x:c>
      <x:c r="I9" s="340" t="str">
        <x:v>Direct CAD</x:v>
      </x:c>
      <x:c r="J9" s="340" t="str">
        <x:v>CoM + inertia tensor reconstructed at CoM</x:v>
      </x:c>
      <x:c r="K9" s="340" t="str">
        <x:v>Standard URDF &lt;inertial&gt; inserted</x:v>
      </x:c>
    </x:row>
    <x:row r="10">
      <x:c r="A10" s="331" t="str">
        <x:v>rf_hip_link</x:v>
      </x:c>
      <x:c r="B10" s="331" t="str">
        <x:v>RF</x:v>
      </x:c>
      <x:c r="C10" s="331" t="str">
        <x:v>meshes/collision/rf_hip_link.stl</x:v>
      </x:c>
      <x:c r="D10" s="332">
        <x:f>E10*1000</x:f>
        <x:v>50</x:v>
      </x:c>
      <x:c r="E10" s="332">
        <x:f>Inertial_Properties!D10</x:f>
        <x:v>0.05</x:v>
      </x:c>
      <x:c r="F10" s="331" t="str">
        <x:v>CAD physical-property subassembly</x:v>
      </x:c>
      <x:c r="G10" s="331" t="str">
        <x:v>Mass reconciliation + Solid Edge report</x:v>
      </x:c>
      <x:c r="H10" s="331" t="str">
        <x:v>lf_hip_link__physprop.txt (Solid Edge 2026-10-30)</x:v>
      </x:c>
      <x:c r="I10" s="331" t="str">
        <x:v>LF symmetry-derived</x:v>
      </x:c>
      <x:c r="J10" s="331" t="str">
        <x:v>CoM + inertia tensor reconstructed at CoM</x:v>
      </x:c>
      <x:c r="K10" s="331" t="str">
        <x:v>Standard URDF &lt;inertial&gt; inserted</x:v>
      </x:c>
    </x:row>
    <x:row r="11">
      <x:c r="A11" s="334" t="str">
        <x:v>rf_upper_leg_link</x:v>
      </x:c>
      <x:c r="B11" s="334" t="str">
        <x:v>RF</x:v>
      </x:c>
      <x:c r="C11" s="334" t="str">
        <x:v>meshes/collision/rf_upper_leg_link.stl</x:v>
      </x:c>
      <x:c r="D11" s="335">
        <x:f>E11*1000</x:f>
        <x:v>152</x:v>
      </x:c>
      <x:c r="E11" s="335">
        <x:f>Inertial_Properties!D11</x:f>
        <x:v>0.152</x:v>
      </x:c>
      <x:c r="F11" s="334" t="str">
        <x:v>CAD physical-property subassembly</x:v>
      </x:c>
      <x:c r="G11" s="334" t="str">
        <x:v>Mass reconciliation + Solid Edge report</x:v>
      </x:c>
      <x:c r="H11" s="334" t="str">
        <x:v>lf_upper_leg_link__physprop.txt (Solid Edge 2026-10-30)</x:v>
      </x:c>
      <x:c r="I11" s="334" t="str">
        <x:v>LF symmetry-derived</x:v>
      </x:c>
      <x:c r="J11" s="334" t="str">
        <x:v>CoM + inertia tensor reconstructed at CoM</x:v>
      </x:c>
      <x:c r="K11" s="334" t="str">
        <x:v>Standard URDF &lt;inertial&gt; inserted</x:v>
      </x:c>
    </x:row>
    <x:row r="12">
      <x:c r="A12" s="337" t="str">
        <x:v>rf_lower_leg_link</x:v>
      </x:c>
      <x:c r="B12" s="337" t="str">
        <x:v>RF</x:v>
      </x:c>
      <x:c r="C12" s="337" t="str">
        <x:v>meshes/collision/rf_lower_leg_link.stl</x:v>
      </x:c>
      <x:c r="D12" s="338">
        <x:f>E12*1000</x:f>
        <x:v>59</x:v>
      </x:c>
      <x:c r="E12" s="338">
        <x:f>Inertial_Properties!D12</x:f>
        <x:v>0.059</x:v>
      </x:c>
      <x:c r="F12" s="337" t="str">
        <x:v>CAD physical-property subassembly</x:v>
      </x:c>
      <x:c r="G12" s="337" t="str">
        <x:v>Mass reconciliation + Solid Edge report</x:v>
      </x:c>
      <x:c r="H12" s="337" t="str">
        <x:v>lf_lower_leg_link__physprop.txt (Solid Edge 2026-10-30)</x:v>
      </x:c>
      <x:c r="I12" s="337" t="str">
        <x:v>LF symmetry-derived</x:v>
      </x:c>
      <x:c r="J12" s="337" t="str">
        <x:v>CoM + inertia tensor reconstructed at CoM</x:v>
      </x:c>
      <x:c r="K12" s="337" t="str">
        <x:v>Standard URDF &lt;inertial&gt; inserted</x:v>
      </x:c>
    </x:row>
    <x:row r="13">
      <x:c r="A13" s="340" t="str">
        <x:v>rf_foot_link</x:v>
      </x:c>
      <x:c r="B13" s="340" t="str">
        <x:v>RF</x:v>
      </x:c>
      <x:c r="C13" s="340" t="str">
        <x:v>meshes/collision/rf_foot_link.stl</x:v>
      </x:c>
      <x:c r="D13" s="341">
        <x:f>E13*1000</x:f>
        <x:v>14</x:v>
      </x:c>
      <x:c r="E13" s="341">
        <x:f>Inertial_Properties!D13</x:f>
        <x:v>0.014</x:v>
      </x:c>
      <x:c r="F13" s="340" t="str">
        <x:v>CAD physical-property subassembly</x:v>
      </x:c>
      <x:c r="G13" s="340" t="str">
        <x:v>Mass reconciliation + Solid Edge report</x:v>
      </x:c>
      <x:c r="H13" s="340" t="str">
        <x:v>lf_foot_link__physprop.txt (Solid Edge 2026-10-30)</x:v>
      </x:c>
      <x:c r="I13" s="340" t="str">
        <x:v>LF symmetry-derived</x:v>
      </x:c>
      <x:c r="J13" s="340" t="str">
        <x:v>CoM + inertia tensor reconstructed at CoM</x:v>
      </x:c>
      <x:c r="K13" s="340" t="str">
        <x:v>Standard URDF &lt;inertial&gt; inserted</x:v>
      </x:c>
    </x:row>
    <x:row r="14">
      <x:c r="A14" s="331" t="str">
        <x:v>rh_hip_link</x:v>
      </x:c>
      <x:c r="B14" s="331" t="str">
        <x:v>RH</x:v>
      </x:c>
      <x:c r="C14" s="331" t="str">
        <x:v>meshes/collision/rh_hip_link.stl</x:v>
      </x:c>
      <x:c r="D14" s="332">
        <x:f>E14*1000</x:f>
        <x:v>50</x:v>
      </x:c>
      <x:c r="E14" s="332">
        <x:f>Inertial_Properties!D14</x:f>
        <x:v>0.05</x:v>
      </x:c>
      <x:c r="F14" s="331" t="str">
        <x:v>CAD physical-property subassembly</x:v>
      </x:c>
      <x:c r="G14" s="331" t="str">
        <x:v>Mass reconciliation + Solid Edge report</x:v>
      </x:c>
      <x:c r="H14" s="331" t="str">
        <x:v>lf_hip_link__physprop.txt (Solid Edge 2026-10-30)</x:v>
      </x:c>
      <x:c r="I14" s="331" t="str">
        <x:v>LF symmetry-derived</x:v>
      </x:c>
      <x:c r="J14" s="331" t="str">
        <x:v>CoM + inertia tensor reconstructed at CoM</x:v>
      </x:c>
      <x:c r="K14" s="331" t="str">
        <x:v>Standard URDF &lt;inertial&gt; inserted</x:v>
      </x:c>
    </x:row>
    <x:row r="15">
      <x:c r="A15" s="334" t="str">
        <x:v>rh_upper_leg_link</x:v>
      </x:c>
      <x:c r="B15" s="334" t="str">
        <x:v>RH</x:v>
      </x:c>
      <x:c r="C15" s="334" t="str">
        <x:v>meshes/collision/rh_upper_leg_link.stl</x:v>
      </x:c>
      <x:c r="D15" s="335">
        <x:f>E15*1000</x:f>
        <x:v>152</x:v>
      </x:c>
      <x:c r="E15" s="335">
        <x:f>Inertial_Properties!D15</x:f>
        <x:v>0.152</x:v>
      </x:c>
      <x:c r="F15" s="334" t="str">
        <x:v>CAD physical-property subassembly</x:v>
      </x:c>
      <x:c r="G15" s="334" t="str">
        <x:v>Mass reconciliation + Solid Edge report</x:v>
      </x:c>
      <x:c r="H15" s="334" t="str">
        <x:v>lf_upper_leg_link__physprop.txt (Solid Edge 2026-10-30)</x:v>
      </x:c>
      <x:c r="I15" s="334" t="str">
        <x:v>LF symmetry-derived</x:v>
      </x:c>
      <x:c r="J15" s="334" t="str">
        <x:v>CoM + inertia tensor reconstructed at CoM</x:v>
      </x:c>
      <x:c r="K15" s="334" t="str">
        <x:v>Standard URDF &lt;inertial&gt; inserted</x:v>
      </x:c>
    </x:row>
    <x:row r="16">
      <x:c r="A16" s="337" t="str">
        <x:v>rh_lower_leg_link</x:v>
      </x:c>
      <x:c r="B16" s="337" t="str">
        <x:v>RH</x:v>
      </x:c>
      <x:c r="C16" s="337" t="str">
        <x:v>meshes/collision/rh_lower_leg_link.stl</x:v>
      </x:c>
      <x:c r="D16" s="338">
        <x:f>E16*1000</x:f>
        <x:v>59</x:v>
      </x:c>
      <x:c r="E16" s="338">
        <x:f>Inertial_Properties!D16</x:f>
        <x:v>0.059</x:v>
      </x:c>
      <x:c r="F16" s="337" t="str">
        <x:v>CAD physical-property subassembly</x:v>
      </x:c>
      <x:c r="G16" s="337" t="str">
        <x:v>Mass reconciliation + Solid Edge report</x:v>
      </x:c>
      <x:c r="H16" s="337" t="str">
        <x:v>lf_lower_leg_link__physprop.txt (Solid Edge 2026-10-30)</x:v>
      </x:c>
      <x:c r="I16" s="337" t="str">
        <x:v>LF symmetry-derived</x:v>
      </x:c>
      <x:c r="J16" s="337" t="str">
        <x:v>CoM + inertia tensor reconstructed at CoM</x:v>
      </x:c>
      <x:c r="K16" s="337" t="str">
        <x:v>Standard URDF &lt;inertial&gt; inserted</x:v>
      </x:c>
    </x:row>
    <x:row r="17">
      <x:c r="A17" s="340" t="str">
        <x:v>rh_foot_link</x:v>
      </x:c>
      <x:c r="B17" s="340" t="str">
        <x:v>RH</x:v>
      </x:c>
      <x:c r="C17" s="340" t="str">
        <x:v>meshes/collision/rh_foot_link.stl</x:v>
      </x:c>
      <x:c r="D17" s="341">
        <x:f>E17*1000</x:f>
        <x:v>14</x:v>
      </x:c>
      <x:c r="E17" s="341">
        <x:f>Inertial_Properties!D17</x:f>
        <x:v>0.014</x:v>
      </x:c>
      <x:c r="F17" s="340" t="str">
        <x:v>CAD physical-property subassembly</x:v>
      </x:c>
      <x:c r="G17" s="340" t="str">
        <x:v>Mass reconciliation + Solid Edge report</x:v>
      </x:c>
      <x:c r="H17" s="340" t="str">
        <x:v>lf_foot_link__physprop.txt (Solid Edge 2026-10-30)</x:v>
      </x:c>
      <x:c r="I17" s="340" t="str">
        <x:v>LF symmetry-derived</x:v>
      </x:c>
      <x:c r="J17" s="340" t="str">
        <x:v>CoM + inertia tensor reconstructed at CoM</x:v>
      </x:c>
      <x:c r="K17" s="340" t="str">
        <x:v>Standard URDF &lt;inertial&gt; inserted</x:v>
      </x:c>
    </x:row>
    <x:row r="18">
      <x:c r="A18" s="331" t="str">
        <x:v>lh_hip_link</x:v>
      </x:c>
      <x:c r="B18" s="331" t="str">
        <x:v>LH</x:v>
      </x:c>
      <x:c r="C18" s="331" t="str">
        <x:v>meshes/collision/lh_hip_link.stl</x:v>
      </x:c>
      <x:c r="D18" s="332">
        <x:f>E18*1000</x:f>
        <x:v>50</x:v>
      </x:c>
      <x:c r="E18" s="332">
        <x:f>Inertial_Properties!D18</x:f>
        <x:v>0.05</x:v>
      </x:c>
      <x:c r="F18" s="331" t="str">
        <x:v>CAD physical-property subassembly</x:v>
      </x:c>
      <x:c r="G18" s="331" t="str">
        <x:v>Mass reconciliation + Solid Edge report</x:v>
      </x:c>
      <x:c r="H18" s="331" t="str">
        <x:v>lf_hip_link__physprop.txt (Solid Edge 2026-10-30)</x:v>
      </x:c>
      <x:c r="I18" s="331" t="str">
        <x:v>LF symmetry-derived</x:v>
      </x:c>
      <x:c r="J18" s="331" t="str">
        <x:v>CoM + inertia tensor reconstructed at CoM</x:v>
      </x:c>
      <x:c r="K18" s="331" t="str">
        <x:v>Standard URDF &lt;inertial&gt; inserted</x:v>
      </x:c>
    </x:row>
    <x:row r="19">
      <x:c r="A19" s="334" t="str">
        <x:v>lh_upper_leg_link</x:v>
      </x:c>
      <x:c r="B19" s="334" t="str">
        <x:v>LH</x:v>
      </x:c>
      <x:c r="C19" s="334" t="str">
        <x:v>meshes/collision/lh_upper_leg_link.stl</x:v>
      </x:c>
      <x:c r="D19" s="335">
        <x:f>E19*1000</x:f>
        <x:v>152</x:v>
      </x:c>
      <x:c r="E19" s="335">
        <x:f>Inertial_Properties!D19</x:f>
        <x:v>0.152</x:v>
      </x:c>
      <x:c r="F19" s="334" t="str">
        <x:v>CAD physical-property subassembly</x:v>
      </x:c>
      <x:c r="G19" s="334" t="str">
        <x:v>Mass reconciliation + Solid Edge report</x:v>
      </x:c>
      <x:c r="H19" s="334" t="str">
        <x:v>lf_upper_leg_link__physprop.txt (Solid Edge 2026-10-30)</x:v>
      </x:c>
      <x:c r="I19" s="334" t="str">
        <x:v>LF symmetry-derived</x:v>
      </x:c>
      <x:c r="J19" s="334" t="str">
        <x:v>CoM + inertia tensor reconstructed at CoM</x:v>
      </x:c>
      <x:c r="K19" s="334" t="str">
        <x:v>Standard URDF &lt;inertial&gt; inserted</x:v>
      </x:c>
    </x:row>
    <x:row r="20">
      <x:c r="A20" s="337" t="str">
        <x:v>lh_lower_leg_link</x:v>
      </x:c>
      <x:c r="B20" s="337" t="str">
        <x:v>LH</x:v>
      </x:c>
      <x:c r="C20" s="337" t="str">
        <x:v>meshes/collision/lh_lower_leg_link.stl</x:v>
      </x:c>
      <x:c r="D20" s="338">
        <x:f>E20*1000</x:f>
        <x:v>59</x:v>
      </x:c>
      <x:c r="E20" s="338">
        <x:f>Inertial_Properties!D20</x:f>
        <x:v>0.059</x:v>
      </x:c>
      <x:c r="F20" s="337" t="str">
        <x:v>CAD physical-property subassembly</x:v>
      </x:c>
      <x:c r="G20" s="337" t="str">
        <x:v>Mass reconciliation + Solid Edge report</x:v>
      </x:c>
      <x:c r="H20" s="337" t="str">
        <x:v>lf_lower_leg_link__physprop.txt (Solid Edge 2026-10-30)</x:v>
      </x:c>
      <x:c r="I20" s="337" t="str">
        <x:v>LF symmetry-derived</x:v>
      </x:c>
      <x:c r="J20" s="337" t="str">
        <x:v>CoM + inertia tensor reconstructed at CoM</x:v>
      </x:c>
      <x:c r="K20" s="337" t="str">
        <x:v>Standard URDF &lt;inertial&gt; inserted</x:v>
      </x:c>
    </x:row>
    <x:row r="21">
      <x:c r="A21" s="340" t="str">
        <x:v>lh_foot_link</x:v>
      </x:c>
      <x:c r="B21" s="340" t="str">
        <x:v>LH</x:v>
      </x:c>
      <x:c r="C21" s="340" t="str">
        <x:v>meshes/collision/lh_foot_link.stl</x:v>
      </x:c>
      <x:c r="D21" s="341">
        <x:f>E21*1000</x:f>
        <x:v>14</x:v>
      </x:c>
      <x:c r="E21" s="341">
        <x:f>Inertial_Properties!D21</x:f>
        <x:v>0.014</x:v>
      </x:c>
      <x:c r="F21" s="340" t="str">
        <x:v>CAD physical-property subassembly</x:v>
      </x:c>
      <x:c r="G21" s="340" t="str">
        <x:v>Mass reconciliation + Solid Edge report</x:v>
      </x:c>
      <x:c r="H21" s="340" t="str">
        <x:v>lf_foot_link__physprop.txt (Solid Edge 2026-10-30)</x:v>
      </x:c>
      <x:c r="I21" s="340" t="str">
        <x:v>LF symmetry-derived</x:v>
      </x:c>
      <x:c r="J21" s="340" t="str">
        <x:v>CoM + inertia tensor reconstructed at CoM</x:v>
      </x:c>
      <x:c r="K21" s="340" t="str">
        <x:v>Standard URDF &lt;inertial&gt; inserted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e033e6dd49543d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 ht="24" customHeight="1">
      <x:c r="A1" s="289" t="str">
        <x:v>MATDOG — Riepilogo masse REV01-FIX (CAD 2026-10-30)</x:v>
      </x:c>
      <x:c r="B1" s="289"/>
      <x:c r="C1" s="139"/>
      <x:c r="D1" s="139"/>
      <x:c r="E1" s="139"/>
      <x:c r="F1" s="139"/>
    </x:row>
    <x:row r="2" ht="36" customHeight="1">
      <x:c r="A2" s="294" t="str">
        <x:v>Un’unica configurazione nominale: 17 link con Jetson Orin (2.928 kg per-link; 2.937 kg assieme Solid Edge). La pesata reale del 2026-10-30 (2.807 kg, senza Jetson) è evidenza storica dell’hardware attualmente assemblato. Dettaglio in Mass_Reconciliation.</x:v>
      </x:c>
      <x:c r="B2" s="294"/>
      <x:c r="C2" s="144"/>
      <x:c r="D2" s="144"/>
      <x:c r="E2" s="144"/>
      <x:c r="F2" s="144"/>
    </x:row>
    <x:row r="4">
      <x:c r="A4" s="345" t="str">
        <x:v>Metric</x:v>
      </x:c>
      <x:c r="B4" s="345" t="str">
        <x:v>Value</x:v>
      </x:c>
    </x:row>
    <x:row r="5">
      <x:c r="A5" s="372" t="str">
        <x:v>URDF modeled links mass [g]</x:v>
      </x:c>
      <x:c r="B5" s="306">
        <x:f>Inertial_Properties!D23*1000</x:f>
        <x:v>2928</x:v>
      </x:c>
    </x:row>
    <x:row r="6">
      <x:c r="A6" s="372" t="str">
        <x:v>URDF modeled links mass [kg]</x:v>
      </x:c>
      <x:c r="B6" s="306">
        <x:f>Inertial_Properties!D23</x:f>
        <x:v>2.928</x:v>
      </x:c>
    </x:row>
    <x:row r="7">
      <x:c r="A7" s="372" t="str">
        <x:v>Four legs mass [g]</x:v>
      </x:c>
      <x:c r="B7" s="306">
        <x:f>SUM(Inertial_Properties!D6:D21)*1000</x:f>
        <x:v>1100</x:v>
      </x:c>
    </x:row>
    <x:row r="8">
      <x:c r="A8" s="372" t="str">
        <x:v>Base link mass [g]</x:v>
      </x:c>
      <x:c r="B8" s="306">
        <x:f>Inertial_Properties!D5*1000</x:f>
        <x:v>1828</x:v>
      </x:c>
    </x:row>
    <x:row r="9">
      <x:c r="A9" s="372" t="str">
        <x:v>CAD full assembly [g]</x:v>
      </x:c>
      <x:c r="B9" s="306">
        <x:f>CAD_Source_Data!D10*1000</x:f>
        <x:v>2937</x:v>
      </x:c>
    </x:row>
    <x:row r="10">
      <x:c r="A10" s="372" t="str">
        <x:v>Weight-breakdown calculated, WITH Jetson [g]</x:v>
      </x:c>
      <x:c r="B10" s="306">
        <x:f>'Weight_Evidence_2026-10-30'!J11+'Weight_Evidence_2026-10-30'!F16</x:f>
        <x:v>2943.2</x:v>
      </x:c>
    </x:row>
    <x:row r="11">
      <x:c r="A11" s="340" t="str">
        <x:v>Physical robot measured 2026-10-30, WITHOUT Jetson [g]</x:v>
      </x:c>
      <x:c r="B11" s="341">
        <x:f>'Weight_Evidence_2026-10-30'!J2</x:f>
        <x:v>2807</x:v>
      </x:c>
    </x:row>
    <x:row r="12">
      <x:c r="A12" s="301" t="str">
        <x:v>Neck yaw actuator [g]</x:v>
      </x:c>
      <x:c r="B12" s="306" t="n">
        <x:v>61</x:v>
      </x:c>
    </x:row>
    <x:row r="13">
      <x:c r="A13" s="375" t="str">
        <x:v>Standalone neck yaw link in REV01-FIX</x:v>
      </x:c>
      <x:c r="B13" s="375" t="str">
        <x:v>No</x:v>
      </x:c>
      <x:c r="C13" s="180"/>
      <x:c r="D13" s="180"/>
      <x:c r="E13" s="180"/>
      <x:c r="F13" s="181"/>
    </x:row>
    <x:row r="14">
      <x:c r="A14" s="375" t="str">
        <x:v>Dynamic property status</x:v>
      </x:c>
      <x:c r="B14" s="375" t="str">
        <x:v>CAD CoM + inertia tensor updated 2026-10-30 (REV01-FIX)</x:v>
      </x:c>
      <x:c r="C14" s="183"/>
      <x:c r="D14" s="183"/>
      <x:c r="E14" s="183"/>
      <x:c r="F14" s="184"/>
    </x:row>
    <x:row r="15">
      <x:c r="A15" t="str" s="372">
        <x:v>Jetson Orin, inside the base_link CAD [g]</x:v>
      </x:c>
      <x:c r="B15" s="306">
        <x:f>'Weight_Evidence_2026-10-30'!F16</x:f>
        <x:v>175</x:v>
      </x:c>
    </x:row>
    <x:row r="16">
      <x:c r="A16" t="str" s="372">
        <x:v>CAD assembly WITHOUT Jetson [g]</x:v>
      </x:c>
      <x:c r="B16" s="306">
        <x:f>B9-B15</x:f>
        <x:v>2762</x:v>
      </x:c>
    </x:row>
    <x:row r="17">
      <x:c r="A17" t="str" s="372">
        <x:v>Measured − (CAD assembly without Jetson) [g]</x:v>
      </x:c>
      <x:c r="B17" s="306">
        <x:f>B11-B16</x:f>
        <x:v>45</x:v>
      </x:c>
    </x:row>
    <x:row r="18">
      <x:c r="A18" t="str" s="372">
        <x:v>Weight workbook: measured − analytic without Jetson [g]</x:v>
      </x:c>
      <x:c r="B18" s="306">
        <x:f>'Weight_Evidence_2026-10-30'!J13</x:f>
        <x:v>38.80000000000018</x:v>
      </x:c>
    </x:row>
    <x:row r="19">
      <x:c r="A19" t="str" s="372">
        <x:v>Model links − CAD assembly [g]</x:v>
      </x:c>
      <x:c r="B19" s="306">
        <x:f>B5-B9</x:f>
        <x:v>-9</x:v>
      </x:c>
    </x:row>
    <x:row r="20">
      <x:c r="A20" t="str" s="372">
        <x:v>Interpretation</x:v>
      </x:c>
      <x:c r="B20" t="str" s="372">
        <x:v>Residual 38.8 g (workbook) / 45 g (vs CAD): unmodeled internal wiring is a HYPOTHESIS, not a measurement; no mass is added to the model.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30" hidden="0" customWidth="1"/>
    <x:col min="4" max="4" width="10" hidden="0" customWidth="1"/>
    <x:col min="5" max="5" width="18" hidden="0" customWidth="1"/>
    <x:col min="6" max="6" width="16" hidden="0" customWidth="1"/>
    <x:col min="7" max="7" width="8" hidden="0" customWidth="1"/>
    <x:col min="8" max="8" width="12" hidden="0" customWidth="1"/>
    <x:col min="9" max="9" width="18" hidden="0" customWidth="1"/>
    <x:col min="10" max="10" width="42" hidden="0" customWidth="1"/>
  </x:cols>
  <x:sheetData>
    <x:row r="1" ht="24" customHeight="1">
      <x:c r="A1" s="289" t="str">
        <x:v>Engineering_Data.xlsx — Historical weight source / reconciliation input</x:v>
      </x:c>
      <x:c r="B1" s="289"/>
      <x:c r="C1" s="289"/>
      <x:c r="D1" s="289"/>
      <x:c r="E1" s="289"/>
      <x:c r="F1" s="289"/>
      <x:c r="G1" s="289"/>
      <x:c r="H1" s="289"/>
      <x:c r="I1" s="289"/>
      <x:c r="J1" s="289"/>
    </x:row>
    <x:row r="2" ht="42" customHeight="1">
      <x:c r="A2" s="294" t="str">
        <x:v>Historical component allocation retained for traceability. It is not the dynamic source of truth: masses and inertias now come from Solid Edge physical-property exports plus the CAD mass reconciliation in Inertial_Properties and Mass_Reconciliation.</x:v>
      </x:c>
      <x:c r="B2" s="294"/>
      <x:c r="C2" s="294"/>
      <x:c r="D2" s="294"/>
      <x:c r="E2" s="294"/>
      <x:c r="F2" s="294"/>
      <x:c r="G2" s="294"/>
      <x:c r="H2" s="294"/>
      <x:c r="I2" s="294"/>
      <x:c r="J2" s="294"/>
    </x:row>
    <x:row r="4">
      <x:c r="A4" s="157" t="str">
        <x:v>N.</x:v>
      </x:c>
      <x:c r="B4" s="158" t="str">
        <x:v>Subsystem</x:v>
      </x:c>
      <x:c r="C4" s="158" t="str">
        <x:v>Component</x:v>
      </x:c>
      <x:c r="D4" s="158" t="str">
        <x:v>Side</x:v>
      </x:c>
      <x:c r="E4" s="158" t="str">
        <x:v>Material</x:v>
      </x:c>
      <x:c r="F4" s="158" t="str">
        <x:v>Interasse (mm)</x:v>
      </x:c>
      <x:c r="G4" s="158" t="str">
        <x:v>Q.ty</x:v>
      </x:c>
      <x:c r="H4" s="158" t="str">
        <x:v>Weight (g)</x:v>
      </x:c>
      <x:c r="I4" s="158" t="str">
        <x:v>Notes</x:v>
      </x:c>
      <x:c r="J4" s="159" t="str">
        <x:v>URDF link allocation</x:v>
      </x:c>
    </x:row>
    <x:row r="5">
      <x:c r="A5" s="195" t="n">
        <x:v>1</x:v>
      </x:c>
      <x:c r="B5" s="162" t="str">
        <x:v>Actuator / Motor</x:v>
      </x:c>
      <x:c r="C5" s="162" t="str">
        <x:v>ACT_FL_Shoulder_11</x:v>
      </x:c>
      <x:c r="D5" s="162" t="str">
        <x:v>FL</x:v>
      </x:c>
      <x:c r="E5" s="162" t="str">
        <x:v>-</x:v>
      </x:c>
      <x:c r="F5" s="162"/>
      <x:c r="G5" s="162" t="n">
        <x:v>1</x:v>
      </x:c>
      <x:c r="H5" s="196" t="n">
        <x:v>61</x:v>
      </x:c>
      <x:c r="I5" s="162" t="str">
        <x:v>ID_motor:11</x:v>
      </x:c>
      <x:c r="J5" s="163" t="str">
        <x:v>lf_hip_link</x:v>
      </x:c>
    </x:row>
    <x:row r="6">
      <x:c r="A6" s="195" t="n">
        <x:v>2</x:v>
      </x:c>
      <x:c r="B6" s="162" t="str">
        <x:v>Leg</x:v>
      </x:c>
      <x:c r="C6" s="162" t="str">
        <x:v>Shoulder_Joint_L</x:v>
      </x:c>
      <x:c r="D6" s="162" t="str">
        <x:v>FL</x:v>
      </x:c>
      <x:c r="E6" s="162" t="str">
        <x:v>PPA+CF</x:v>
      </x:c>
      <x:c r="F6" s="162"/>
      <x:c r="G6" s="162" t="n">
        <x:v>1</x:v>
      </x:c>
      <x:c r="H6" s="196" t="n">
        <x:v>32</x:v>
      </x:c>
      <x:c r="I6" s="162"/>
      <x:c r="J6" s="163" t="str">
        <x:v>lf_hip_link</x:v>
      </x:c>
    </x:row>
    <x:row r="7">
      <x:c r="A7" s="195" t="n">
        <x:v>3</x:v>
      </x:c>
      <x:c r="B7" s="162" t="str">
        <x:v>Actuator / Motor</x:v>
      </x:c>
      <x:c r="C7" s="162" t="str">
        <x:v>ACT_FL_UpperLeg_12</x:v>
      </x:c>
      <x:c r="D7" s="162" t="str">
        <x:v>FL</x:v>
      </x:c>
      <x:c r="E7" s="162" t="str">
        <x:v>-</x:v>
      </x:c>
      <x:c r="F7" s="162"/>
      <x:c r="G7" s="162" t="n">
        <x:v>1</x:v>
      </x:c>
      <x:c r="H7" s="196" t="n">
        <x:v>61</x:v>
      </x:c>
      <x:c r="I7" s="162" t="str">
        <x:v>ID_motor:12</x:v>
      </x:c>
      <x:c r="J7" s="163" t="str">
        <x:v>lf_upper_leg_link</x:v>
      </x:c>
    </x:row>
    <x:row r="8">
      <x:c r="A8" s="195" t="n">
        <x:v>4</x:v>
      </x:c>
      <x:c r="B8" s="162" t="str">
        <x:v>Leg</x:v>
      </x:c>
      <x:c r="C8" s="162" t="str">
        <x:v>Upper_Leg</x:v>
      </x:c>
      <x:c r="D8" s="162" t="str">
        <x:v>FL</x:v>
      </x:c>
      <x:c r="E8" s="162" t="str">
        <x:v>PPA+CF</x:v>
      </x:c>
      <x:c r="F8" s="162"/>
      <x:c r="G8" s="162" t="n">
        <x:v>1</x:v>
      </x:c>
      <x:c r="H8" s="196" t="n">
        <x:v>32</x:v>
      </x:c>
      <x:c r="I8" s="162"/>
      <x:c r="J8" s="163" t="str">
        <x:v>lf_upper_leg_link</x:v>
      </x:c>
    </x:row>
    <x:row r="9">
      <x:c r="A9" s="195" t="n">
        <x:v>5</x:v>
      </x:c>
      <x:c r="B9" s="162" t="str">
        <x:v>Leg</x:v>
      </x:c>
      <x:c r="C9" s="162" t="str">
        <x:v>Upper_Leg_Cover</x:v>
      </x:c>
      <x:c r="D9" s="162" t="str">
        <x:v>fl</x:v>
      </x:c>
      <x:c r="E9" s="162" t="str">
        <x:v>ABS ESD</x:v>
      </x:c>
      <x:c r="F9" s="162"/>
      <x:c r="G9" s="162" t="n">
        <x:v>1</x:v>
      </x:c>
      <x:c r="H9" s="196" t="n">
        <x:v>5</x:v>
      </x:c>
      <x:c r="I9" s="162"/>
      <x:c r="J9" s="163" t="str">
        <x:v>lf_upper_leg_link</x:v>
      </x:c>
    </x:row>
    <x:row r="10">
      <x:c r="A10" s="195" t="n">
        <x:v>6</x:v>
      </x:c>
      <x:c r="B10" s="162" t="str">
        <x:v>Actuator / Motor</x:v>
      </x:c>
      <x:c r="C10" s="162" t="str">
        <x:v>ACT_FL_LowerLeg_13</x:v>
      </x:c>
      <x:c r="D10" s="162" t="str">
        <x:v>FL</x:v>
      </x:c>
      <x:c r="E10" s="162" t="str">
        <x:v>-</x:v>
      </x:c>
      <x:c r="F10" s="162"/>
      <x:c r="G10" s="162" t="n">
        <x:v>1</x:v>
      </x:c>
      <x:c r="H10" s="196" t="n">
        <x:v>61</x:v>
      </x:c>
      <x:c r="I10" s="162" t="str">
        <x:v>ID_motor:13</x:v>
      </x:c>
      <x:c r="J10" s="163" t="str">
        <x:v>lf_lower_leg_link</x:v>
      </x:c>
    </x:row>
    <x:row r="11">
      <x:c r="A11" s="195" t="n">
        <x:v>7</x:v>
      </x:c>
      <x:c r="B11" s="162" t="str">
        <x:v>Leg</x:v>
      </x:c>
      <x:c r="C11" s="162" t="str">
        <x:v>Lower_Leg_L</x:v>
      </x:c>
      <x:c r="D11" s="162" t="str">
        <x:v>FL</x:v>
      </x:c>
      <x:c r="E11" s="162" t="str">
        <x:v>PPA+CF</x:v>
      </x:c>
      <x:c r="F11" s="162"/>
      <x:c r="G11" s="162" t="n">
        <x:v>1</x:v>
      </x:c>
      <x:c r="H11" s="196" t="n">
        <x:v>53.5</x:v>
      </x:c>
      <x:c r="I11" s="162"/>
      <x:c r="J11" s="163" t="str">
        <x:v>lf_lower_leg_link</x:v>
      </x:c>
    </x:row>
    <x:row r="12">
      <x:c r="A12" s="195" t="n">
        <x:v>8</x:v>
      </x:c>
      <x:c r="B12" s="162" t="str">
        <x:v>Leg</x:v>
      </x:c>
      <x:c r="C12" s="162" t="str">
        <x:v>Rubber_Foot</x:v>
      </x:c>
      <x:c r="D12" s="162" t="str">
        <x:v>FL</x:v>
      </x:c>
      <x:c r="E12" s="162" t="str">
        <x:v>TPU 95A</x:v>
      </x:c>
      <x:c r="F12" s="162"/>
      <x:c r="G12" s="162" t="n">
        <x:v>1</x:v>
      </x:c>
      <x:c r="H12" s="196" t="n">
        <x:v>6.5</x:v>
      </x:c>
      <x:c r="I12" s="162"/>
      <x:c r="J12" s="163" t="str">
        <x:v>lf_foot_link</x:v>
      </x:c>
    </x:row>
    <x:row r="13">
      <x:c r="A13" s="195" t="n">
        <x:v>9</x:v>
      </x:c>
      <x:c r="B13" s="162" t="str">
        <x:v>Fastners</x:v>
      </x:c>
      <x:c r="C13" s="162"/>
      <x:c r="D13" s="162" t="str">
        <x:v>FL</x:v>
      </x:c>
      <x:c r="E13" s="162" t="str">
        <x:v>Steel</x:v>
      </x:c>
      <x:c r="F13" s="162"/>
      <x:c r="G13" s="162" t="n">
        <x:v>1</x:v>
      </x:c>
      <x:c r="H13" s="196" t="n">
        <x:v>4</x:v>
      </x:c>
      <x:c r="I13" s="162"/>
      <x:c r="J13" s="163" t="str">
        <x:v>lf_hip_link</x:v>
      </x:c>
    </x:row>
    <x:row r="14">
      <x:c r="A14" s="195"/>
      <x:c r="B14" s="162"/>
      <x:c r="C14" s="162"/>
      <x:c r="D14" s="162"/>
      <x:c r="E14" s="162"/>
      <x:c r="F14" s="162"/>
      <x:c r="G14" s="162" t="str">
        <x:v>Tot.:</x:v>
      </x:c>
      <x:c r="H14" s="196" t="n">
        <x:v>316</x:v>
      </x:c>
      <x:c r="I14" s="162"/>
      <x:c r="J14" s="163"/>
    </x:row>
    <x:row r="15">
      <x:c r="A15" s="195" t="n">
        <x:v>10</x:v>
      </x:c>
      <x:c r="B15" s="162" t="str">
        <x:v>Actuator / Motor</x:v>
      </x:c>
      <x:c r="C15" s="162" t="str">
        <x:v>ACT_FR_Shoulder_21</x:v>
      </x:c>
      <x:c r="D15" s="162" t="str">
        <x:v>FR</x:v>
      </x:c>
      <x:c r="E15" s="162" t="str">
        <x:v>-</x:v>
      </x:c>
      <x:c r="F15" s="162"/>
      <x:c r="G15" s="162" t="n">
        <x:v>1</x:v>
      </x:c>
      <x:c r="H15" s="196" t="n">
        <x:v>61</x:v>
      </x:c>
      <x:c r="I15" s="162" t="str">
        <x:v>ID_motor:21</x:v>
      </x:c>
      <x:c r="J15" s="163" t="str">
        <x:v>rf_hip_link</x:v>
      </x:c>
    </x:row>
    <x:row r="16">
      <x:c r="A16" s="195" t="n">
        <x:v>11</x:v>
      </x:c>
      <x:c r="B16" s="162" t="str">
        <x:v>Leg</x:v>
      </x:c>
      <x:c r="C16" s="162" t="str">
        <x:v>Shoulder_Joint_R</x:v>
      </x:c>
      <x:c r="D16" s="162" t="str">
        <x:v>FR</x:v>
      </x:c>
      <x:c r="E16" s="162" t="str">
        <x:v>PPA+CF</x:v>
      </x:c>
      <x:c r="F16" s="162"/>
      <x:c r="G16" s="162" t="n">
        <x:v>1</x:v>
      </x:c>
      <x:c r="H16" s="196" t="n">
        <x:v>32</x:v>
      </x:c>
      <x:c r="I16" s="162"/>
      <x:c r="J16" s="163" t="str">
        <x:v>rf_hip_link</x:v>
      </x:c>
    </x:row>
    <x:row r="17">
      <x:c r="A17" s="195" t="n">
        <x:v>12</x:v>
      </x:c>
      <x:c r="B17" s="162" t="str">
        <x:v>Actuator / Motor</x:v>
      </x:c>
      <x:c r="C17" s="162" t="str">
        <x:v>ACT_FR_UpperLeg_22</x:v>
      </x:c>
      <x:c r="D17" s="162" t="str">
        <x:v>FR</x:v>
      </x:c>
      <x:c r="E17" s="162" t="str">
        <x:v>-</x:v>
      </x:c>
      <x:c r="F17" s="162"/>
      <x:c r="G17" s="162" t="n">
        <x:v>1</x:v>
      </x:c>
      <x:c r="H17" s="196" t="n">
        <x:v>61</x:v>
      </x:c>
      <x:c r="I17" s="162" t="str">
        <x:v>ID_motor:22</x:v>
      </x:c>
      <x:c r="J17" s="163" t="str">
        <x:v>rf_upper_leg_link</x:v>
      </x:c>
    </x:row>
    <x:row r="18">
      <x:c r="A18" s="195" t="n">
        <x:v>13</x:v>
      </x:c>
      <x:c r="B18" s="162" t="str">
        <x:v>Leg</x:v>
      </x:c>
      <x:c r="C18" s="162" t="str">
        <x:v>Upper_Leg</x:v>
      </x:c>
      <x:c r="D18" s="162" t="str">
        <x:v>FR</x:v>
      </x:c>
      <x:c r="E18" s="162" t="str">
        <x:v>PPA+CF</x:v>
      </x:c>
      <x:c r="F18" s="162"/>
      <x:c r="G18" s="162" t="n">
        <x:v>1</x:v>
      </x:c>
      <x:c r="H18" s="196" t="n">
        <x:v>32</x:v>
      </x:c>
      <x:c r="I18" s="162"/>
      <x:c r="J18" s="163" t="str">
        <x:v>rf_upper_leg_link</x:v>
      </x:c>
    </x:row>
    <x:row r="19">
      <x:c r="A19" s="195" t="n">
        <x:v>14</x:v>
      </x:c>
      <x:c r="B19" s="162" t="str">
        <x:v>Leg</x:v>
      </x:c>
      <x:c r="C19" s="162" t="str">
        <x:v>Upper_Leg_Cover</x:v>
      </x:c>
      <x:c r="D19" s="162" t="str">
        <x:v>FR</x:v>
      </x:c>
      <x:c r="E19" s="162" t="str">
        <x:v>ABS ESD</x:v>
      </x:c>
      <x:c r="F19" s="162"/>
      <x:c r="G19" s="162" t="n">
        <x:v>1</x:v>
      </x:c>
      <x:c r="H19" s="196" t="n">
        <x:v>5</x:v>
      </x:c>
      <x:c r="I19" s="162"/>
      <x:c r="J19" s="163" t="str">
        <x:v>rf_upper_leg_link</x:v>
      </x:c>
    </x:row>
    <x:row r="20">
      <x:c r="A20" s="195" t="n">
        <x:v>15</x:v>
      </x:c>
      <x:c r="B20" s="162" t="str">
        <x:v>Actuator / Motor</x:v>
      </x:c>
      <x:c r="C20" s="162" t="str">
        <x:v>ACT_FR_LowerLeg_23</x:v>
      </x:c>
      <x:c r="D20" s="162" t="str">
        <x:v>FR</x:v>
      </x:c>
      <x:c r="E20" s="162" t="str">
        <x:v>-</x:v>
      </x:c>
      <x:c r="F20" s="162"/>
      <x:c r="G20" s="162" t="n">
        <x:v>1</x:v>
      </x:c>
      <x:c r="H20" s="196" t="n">
        <x:v>61</x:v>
      </x:c>
      <x:c r="I20" s="162" t="str">
        <x:v>ID_motor:23</x:v>
      </x:c>
      <x:c r="J20" s="163" t="str">
        <x:v>rf_lower_leg_link</x:v>
      </x:c>
    </x:row>
    <x:row r="21">
      <x:c r="A21" s="195" t="n">
        <x:v>16</x:v>
      </x:c>
      <x:c r="B21" s="162" t="str">
        <x:v>Leg</x:v>
      </x:c>
      <x:c r="C21" s="162" t="str">
        <x:v>Lower_Leg_R</x:v>
      </x:c>
      <x:c r="D21" s="162" t="str">
        <x:v>FR</x:v>
      </x:c>
      <x:c r="E21" s="162" t="str">
        <x:v>PPA+CF</x:v>
      </x:c>
      <x:c r="F21" s="162"/>
      <x:c r="G21" s="162" t="n">
        <x:v>1</x:v>
      </x:c>
      <x:c r="H21" s="196" t="n">
        <x:v>53.5</x:v>
      </x:c>
      <x:c r="I21" s="162"/>
      <x:c r="J21" s="163" t="str">
        <x:v>rf_lower_leg_link</x:v>
      </x:c>
    </x:row>
    <x:row r="22">
      <x:c r="A22" s="195" t="n">
        <x:v>17</x:v>
      </x:c>
      <x:c r="B22" s="162" t="str">
        <x:v>Leg</x:v>
      </x:c>
      <x:c r="C22" s="162" t="str">
        <x:v>Rubber_Foot</x:v>
      </x:c>
      <x:c r="D22" s="162" t="str">
        <x:v>FR</x:v>
      </x:c>
      <x:c r="E22" s="162" t="str">
        <x:v>TPU 95A</x:v>
      </x:c>
      <x:c r="F22" s="162"/>
      <x:c r="G22" s="162" t="n">
        <x:v>1</x:v>
      </x:c>
      <x:c r="H22" s="196" t="n">
        <x:v>6.5</x:v>
      </x:c>
      <x:c r="I22" s="162"/>
      <x:c r="J22" s="163" t="str">
        <x:v>rf_foot_link</x:v>
      </x:c>
    </x:row>
    <x:row r="23">
      <x:c r="A23" s="195" t="n">
        <x:v>18</x:v>
      </x:c>
      <x:c r="B23" s="162" t="str">
        <x:v>Fastners</x:v>
      </x:c>
      <x:c r="C23" s="162"/>
      <x:c r="D23" s="162" t="str">
        <x:v>FR</x:v>
      </x:c>
      <x:c r="E23" s="162" t="str">
        <x:v>Steel</x:v>
      </x:c>
      <x:c r="F23" s="162"/>
      <x:c r="G23" s="162" t="n">
        <x:v>1</x:v>
      </x:c>
      <x:c r="H23" s="196" t="n">
        <x:v>4</x:v>
      </x:c>
      <x:c r="I23" s="162"/>
      <x:c r="J23" s="163" t="str">
        <x:v>rf_hip_link</x:v>
      </x:c>
    </x:row>
    <x:row r="24">
      <x:c r="A24" s="195"/>
      <x:c r="B24" s="162"/>
      <x:c r="C24" s="162"/>
      <x:c r="D24" s="162"/>
      <x:c r="E24" s="162"/>
      <x:c r="F24" s="162"/>
      <x:c r="G24" s="162" t="str">
        <x:v>Tot.:</x:v>
      </x:c>
      <x:c r="H24" s="196" t="n">
        <x:v>316</x:v>
      </x:c>
      <x:c r="I24" s="162"/>
      <x:c r="J24" s="163"/>
    </x:row>
    <x:row r="25">
      <x:c r="A25" s="195" t="n">
        <x:v>19</x:v>
      </x:c>
      <x:c r="B25" s="162" t="str">
        <x:v>Actuator / Motor</x:v>
      </x:c>
      <x:c r="C25" s="162" t="str">
        <x:v>ACT_RR_Shoulder_31</x:v>
      </x:c>
      <x:c r="D25" s="162" t="str">
        <x:v>RR</x:v>
      </x:c>
      <x:c r="E25" s="162" t="str">
        <x:v>-</x:v>
      </x:c>
      <x:c r="F25" s="162"/>
      <x:c r="G25" s="162" t="n">
        <x:v>1</x:v>
      </x:c>
      <x:c r="H25" s="196" t="n">
        <x:v>61</x:v>
      </x:c>
      <x:c r="I25" s="162" t="str">
        <x:v>ID_motor:31</x:v>
      </x:c>
      <x:c r="J25" s="163" t="str">
        <x:v>rh_hip_link</x:v>
      </x:c>
    </x:row>
    <x:row r="26">
      <x:c r="A26" s="195" t="n">
        <x:v>20</x:v>
      </x:c>
      <x:c r="B26" s="162" t="str">
        <x:v>Leg</x:v>
      </x:c>
      <x:c r="C26" s="162" t="str">
        <x:v>Shoulder_Joint_R</x:v>
      </x:c>
      <x:c r="D26" s="162" t="str">
        <x:v>RR</x:v>
      </x:c>
      <x:c r="E26" s="162" t="str">
        <x:v>PPA+CF</x:v>
      </x:c>
      <x:c r="F26" s="162"/>
      <x:c r="G26" s="162" t="n">
        <x:v>1</x:v>
      </x:c>
      <x:c r="H26" s="196" t="n">
        <x:v>32</x:v>
      </x:c>
      <x:c r="I26" s="162"/>
      <x:c r="J26" s="163" t="str">
        <x:v>rh_hip_link</x:v>
      </x:c>
    </x:row>
    <x:row r="27">
      <x:c r="A27" s="195" t="n">
        <x:v>21</x:v>
      </x:c>
      <x:c r="B27" s="162" t="str">
        <x:v>Actuator / Motor</x:v>
      </x:c>
      <x:c r="C27" s="162" t="str">
        <x:v>ACT_RR_UpperLeg_32</x:v>
      </x:c>
      <x:c r="D27" s="162" t="str">
        <x:v>RR</x:v>
      </x:c>
      <x:c r="E27" s="162" t="str">
        <x:v>-</x:v>
      </x:c>
      <x:c r="F27" s="162"/>
      <x:c r="G27" s="162" t="n">
        <x:v>1</x:v>
      </x:c>
      <x:c r="H27" s="196" t="n">
        <x:v>61</x:v>
      </x:c>
      <x:c r="I27" s="162" t="str">
        <x:v>ID_motor:32</x:v>
      </x:c>
      <x:c r="J27" s="163" t="str">
        <x:v>rh_upper_leg_link</x:v>
      </x:c>
    </x:row>
    <x:row r="28">
      <x:c r="A28" s="195" t="n">
        <x:v>22</x:v>
      </x:c>
      <x:c r="B28" s="162" t="str">
        <x:v>Leg</x:v>
      </x:c>
      <x:c r="C28" s="162" t="str">
        <x:v>Upper_Leg</x:v>
      </x:c>
      <x:c r="D28" s="162" t="str">
        <x:v>RR</x:v>
      </x:c>
      <x:c r="E28" s="162" t="str">
        <x:v>PPA+CF</x:v>
      </x:c>
      <x:c r="F28" s="162"/>
      <x:c r="G28" s="162" t="n">
        <x:v>1</x:v>
      </x:c>
      <x:c r="H28" s="196" t="n">
        <x:v>32</x:v>
      </x:c>
      <x:c r="I28" s="162"/>
      <x:c r="J28" s="163" t="str">
        <x:v>rh_upper_leg_link</x:v>
      </x:c>
    </x:row>
    <x:row r="29">
      <x:c r="A29" s="195" t="n">
        <x:v>23</x:v>
      </x:c>
      <x:c r="B29" s="162" t="str">
        <x:v>Leg</x:v>
      </x:c>
      <x:c r="C29" s="162" t="str">
        <x:v>Upper_Leg_Cover</x:v>
      </x:c>
      <x:c r="D29" s="162" t="str">
        <x:v>RR</x:v>
      </x:c>
      <x:c r="E29" s="162" t="str">
        <x:v>ABS ESD</x:v>
      </x:c>
      <x:c r="F29" s="162"/>
      <x:c r="G29" s="162" t="n">
        <x:v>1</x:v>
      </x:c>
      <x:c r="H29" s="196" t="n">
        <x:v>5</x:v>
      </x:c>
      <x:c r="I29" s="162"/>
      <x:c r="J29" s="163" t="str">
        <x:v>rh_upper_leg_link</x:v>
      </x:c>
    </x:row>
    <x:row r="30">
      <x:c r="A30" s="195" t="n">
        <x:v>24</x:v>
      </x:c>
      <x:c r="B30" s="162" t="str">
        <x:v>Actuator / Motor</x:v>
      </x:c>
      <x:c r="C30" s="162" t="str">
        <x:v>ACT_FR_LowerLeg_33</x:v>
      </x:c>
      <x:c r="D30" s="162" t="str">
        <x:v>RR</x:v>
      </x:c>
      <x:c r="E30" s="162" t="str">
        <x:v>-</x:v>
      </x:c>
      <x:c r="F30" s="162"/>
      <x:c r="G30" s="162" t="n">
        <x:v>1</x:v>
      </x:c>
      <x:c r="H30" s="196" t="n">
        <x:v>61</x:v>
      </x:c>
      <x:c r="I30" s="162" t="str">
        <x:v>ID_motor:33</x:v>
      </x:c>
      <x:c r="J30" s="163" t="str">
        <x:v>rh_lower_leg_link</x:v>
      </x:c>
    </x:row>
    <x:row r="31">
      <x:c r="A31" s="195" t="n">
        <x:v>25</x:v>
      </x:c>
      <x:c r="B31" s="162" t="str">
        <x:v>Leg</x:v>
      </x:c>
      <x:c r="C31" s="162" t="str">
        <x:v>Lower_Leg_R</x:v>
      </x:c>
      <x:c r="D31" s="162" t="str">
        <x:v>RR</x:v>
      </x:c>
      <x:c r="E31" s="162" t="str">
        <x:v>PPA+CF</x:v>
      </x:c>
      <x:c r="F31" s="162"/>
      <x:c r="G31" s="162" t="n">
        <x:v>1</x:v>
      </x:c>
      <x:c r="H31" s="196" t="n">
        <x:v>53.5</x:v>
      </x:c>
      <x:c r="I31" s="162"/>
      <x:c r="J31" s="163" t="str">
        <x:v>rh_lower_leg_link</x:v>
      </x:c>
    </x:row>
    <x:row r="32">
      <x:c r="A32" s="195" t="n">
        <x:v>26</x:v>
      </x:c>
      <x:c r="B32" s="162" t="str">
        <x:v>Leg</x:v>
      </x:c>
      <x:c r="C32" s="162" t="str">
        <x:v>Rubber_Foot</x:v>
      </x:c>
      <x:c r="D32" s="162" t="str">
        <x:v>RR</x:v>
      </x:c>
      <x:c r="E32" s="162" t="str">
        <x:v>TPU 95A</x:v>
      </x:c>
      <x:c r="F32" s="162"/>
      <x:c r="G32" s="162" t="n">
        <x:v>1</x:v>
      </x:c>
      <x:c r="H32" s="196" t="n">
        <x:v>6.5</x:v>
      </x:c>
      <x:c r="I32" s="162"/>
      <x:c r="J32" s="163" t="str">
        <x:v>rh_foot_link</x:v>
      </x:c>
    </x:row>
    <x:row r="33">
      <x:c r="A33" s="195" t="n">
        <x:v>27</x:v>
      </x:c>
      <x:c r="B33" s="162" t="str">
        <x:v>Fastners</x:v>
      </x:c>
      <x:c r="C33" s="162"/>
      <x:c r="D33" s="162" t="str">
        <x:v>RR</x:v>
      </x:c>
      <x:c r="E33" s="162" t="str">
        <x:v>Steel</x:v>
      </x:c>
      <x:c r="F33" s="162"/>
      <x:c r="G33" s="162" t="n">
        <x:v>1</x:v>
      </x:c>
      <x:c r="H33" s="196" t="n">
        <x:v>4</x:v>
      </x:c>
      <x:c r="I33" s="162"/>
      <x:c r="J33" s="163" t="str">
        <x:v>rh_hip_link</x:v>
      </x:c>
    </x:row>
    <x:row r="34">
      <x:c r="A34" s="195"/>
      <x:c r="B34" s="162"/>
      <x:c r="C34" s="162"/>
      <x:c r="D34" s="162"/>
      <x:c r="E34" s="162"/>
      <x:c r="F34" s="162"/>
      <x:c r="G34" s="162" t="str">
        <x:v>Tot.:</x:v>
      </x:c>
      <x:c r="H34" s="196" t="n">
        <x:v>316</x:v>
      </x:c>
      <x:c r="I34" s="162"/>
      <x:c r="J34" s="163"/>
    </x:row>
    <x:row r="35">
      <x:c r="A35" s="195" t="n">
        <x:v>28</x:v>
      </x:c>
      <x:c r="B35" s="162" t="str">
        <x:v>Actuator / Motor</x:v>
      </x:c>
      <x:c r="C35" s="162" t="str">
        <x:v>ACT_RL_Shoulder_41</x:v>
      </x:c>
      <x:c r="D35" s="162" t="str">
        <x:v>RL</x:v>
      </x:c>
      <x:c r="E35" s="162" t="str">
        <x:v>-</x:v>
      </x:c>
      <x:c r="F35" s="162"/>
      <x:c r="G35" s="162" t="n">
        <x:v>1</x:v>
      </x:c>
      <x:c r="H35" s="196" t="n">
        <x:v>61</x:v>
      </x:c>
      <x:c r="I35" s="162" t="str">
        <x:v>ID_motor:41</x:v>
      </x:c>
      <x:c r="J35" s="163" t="str">
        <x:v>lh_hip_link</x:v>
      </x:c>
    </x:row>
    <x:row r="36">
      <x:c r="A36" s="195" t="n">
        <x:v>29</x:v>
      </x:c>
      <x:c r="B36" s="162" t="str">
        <x:v>Leg</x:v>
      </x:c>
      <x:c r="C36" s="162" t="str">
        <x:v>Shoulder_Joint_L</x:v>
      </x:c>
      <x:c r="D36" s="162" t="str">
        <x:v>RL</x:v>
      </x:c>
      <x:c r="E36" s="162" t="str">
        <x:v>PPA+CF</x:v>
      </x:c>
      <x:c r="F36" s="162"/>
      <x:c r="G36" s="162" t="n">
        <x:v>1</x:v>
      </x:c>
      <x:c r="H36" s="196" t="n">
        <x:v>32</x:v>
      </x:c>
      <x:c r="I36" s="162"/>
      <x:c r="J36" s="163" t="str">
        <x:v>lh_hip_link</x:v>
      </x:c>
    </x:row>
    <x:row r="37">
      <x:c r="A37" s="195" t="n">
        <x:v>30</x:v>
      </x:c>
      <x:c r="B37" s="162" t="str">
        <x:v>Actuator / Motor</x:v>
      </x:c>
      <x:c r="C37" s="162" t="str">
        <x:v>ACT_RL_UpperLeg_42</x:v>
      </x:c>
      <x:c r="D37" s="162" t="str">
        <x:v>RL</x:v>
      </x:c>
      <x:c r="E37" s="162" t="str">
        <x:v>-</x:v>
      </x:c>
      <x:c r="F37" s="162"/>
      <x:c r="G37" s="162" t="n">
        <x:v>1</x:v>
      </x:c>
      <x:c r="H37" s="196" t="n">
        <x:v>61</x:v>
      </x:c>
      <x:c r="I37" s="162" t="str">
        <x:v>ID_motor:42</x:v>
      </x:c>
      <x:c r="J37" s="163" t="str">
        <x:v>lh_upper_leg_link</x:v>
      </x:c>
    </x:row>
    <x:row r="38">
      <x:c r="A38" s="195" t="n">
        <x:v>31</x:v>
      </x:c>
      <x:c r="B38" s="162" t="str">
        <x:v>Leg</x:v>
      </x:c>
      <x:c r="C38" s="162" t="str">
        <x:v>Upper_Leg</x:v>
      </x:c>
      <x:c r="D38" s="162" t="str">
        <x:v>RL</x:v>
      </x:c>
      <x:c r="E38" s="162" t="str">
        <x:v>PPA+CF</x:v>
      </x:c>
      <x:c r="F38" s="162"/>
      <x:c r="G38" s="162" t="n">
        <x:v>1</x:v>
      </x:c>
      <x:c r="H38" s="196" t="n">
        <x:v>32</x:v>
      </x:c>
      <x:c r="I38" s="162"/>
      <x:c r="J38" s="163" t="str">
        <x:v>lh_upper_leg_link</x:v>
      </x:c>
    </x:row>
    <x:row r="39">
      <x:c r="A39" s="195" t="n">
        <x:v>32</x:v>
      </x:c>
      <x:c r="B39" s="162" t="str">
        <x:v>Leg</x:v>
      </x:c>
      <x:c r="C39" s="162" t="str">
        <x:v>Upper_Leg_Cover</x:v>
      </x:c>
      <x:c r="D39" s="162" t="str">
        <x:v>RL</x:v>
      </x:c>
      <x:c r="E39" s="162" t="str">
        <x:v>ABS ESD</x:v>
      </x:c>
      <x:c r="F39" s="162"/>
      <x:c r="G39" s="162" t="n">
        <x:v>1</x:v>
      </x:c>
      <x:c r="H39" s="196" t="n">
        <x:v>5</x:v>
      </x:c>
      <x:c r="I39" s="162"/>
      <x:c r="J39" s="163" t="str">
        <x:v>lh_upper_leg_link</x:v>
      </x:c>
    </x:row>
    <x:row r="40">
      <x:c r="A40" s="195" t="n">
        <x:v>33</x:v>
      </x:c>
      <x:c r="B40" s="162" t="str">
        <x:v>Actuator / Motor</x:v>
      </x:c>
      <x:c r="C40" s="162" t="str">
        <x:v>ACT_RL_LowerLeg_43</x:v>
      </x:c>
      <x:c r="D40" s="162" t="str">
        <x:v>RL</x:v>
      </x:c>
      <x:c r="E40" s="162" t="str">
        <x:v>-</x:v>
      </x:c>
      <x:c r="F40" s="162"/>
      <x:c r="G40" s="162" t="n">
        <x:v>1</x:v>
      </x:c>
      <x:c r="H40" s="196" t="n">
        <x:v>61</x:v>
      </x:c>
      <x:c r="I40" s="162" t="str">
        <x:v>ID_motor:43</x:v>
      </x:c>
      <x:c r="J40" s="163" t="str">
        <x:v>lh_lower_leg_link</x:v>
      </x:c>
    </x:row>
    <x:row r="41">
      <x:c r="A41" s="195" t="n">
        <x:v>34</x:v>
      </x:c>
      <x:c r="B41" s="162" t="str">
        <x:v>Leg</x:v>
      </x:c>
      <x:c r="C41" s="162" t="str">
        <x:v>Lower_Leg_L</x:v>
      </x:c>
      <x:c r="D41" s="162" t="str">
        <x:v>RL</x:v>
      </x:c>
      <x:c r="E41" s="162" t="str">
        <x:v>PPA+CF</x:v>
      </x:c>
      <x:c r="F41" s="162"/>
      <x:c r="G41" s="162" t="n">
        <x:v>1</x:v>
      </x:c>
      <x:c r="H41" s="196" t="n">
        <x:v>53.5</x:v>
      </x:c>
      <x:c r="I41" s="162"/>
      <x:c r="J41" s="163" t="str">
        <x:v>lh_lower_leg_link</x:v>
      </x:c>
    </x:row>
    <x:row r="42">
      <x:c r="A42" s="195" t="n">
        <x:v>35</x:v>
      </x:c>
      <x:c r="B42" s="162" t="str">
        <x:v>Leg</x:v>
      </x:c>
      <x:c r="C42" s="162" t="str">
        <x:v>Rubber_Foot</x:v>
      </x:c>
      <x:c r="D42" s="162" t="str">
        <x:v>RL</x:v>
      </x:c>
      <x:c r="E42" s="162" t="str">
        <x:v>TPU 95A</x:v>
      </x:c>
      <x:c r="F42" s="162"/>
      <x:c r="G42" s="162" t="n">
        <x:v>1</x:v>
      </x:c>
      <x:c r="H42" s="196" t="n">
        <x:v>6.5</x:v>
      </x:c>
      <x:c r="I42" s="162"/>
      <x:c r="J42" s="163" t="str">
        <x:v>lh_foot_link</x:v>
      </x:c>
    </x:row>
    <x:row r="43">
      <x:c r="A43" s="195" t="n">
        <x:v>36</x:v>
      </x:c>
      <x:c r="B43" s="162" t="str">
        <x:v>Fastners</x:v>
      </x:c>
      <x:c r="C43" s="162"/>
      <x:c r="D43" s="162" t="str">
        <x:v>RL</x:v>
      </x:c>
      <x:c r="E43" s="162" t="str">
        <x:v>Steel</x:v>
      </x:c>
      <x:c r="F43" s="162"/>
      <x:c r="G43" s="162" t="n">
        <x:v>1</x:v>
      </x:c>
      <x:c r="H43" s="196" t="n">
        <x:v>4</x:v>
      </x:c>
      <x:c r="I43" s="162"/>
      <x:c r="J43" s="163" t="str">
        <x:v>lh_hip_link</x:v>
      </x:c>
    </x:row>
    <x:row r="44">
      <x:c r="A44" s="195"/>
      <x:c r="B44" s="162"/>
      <x:c r="C44" s="162"/>
      <x:c r="D44" s="162"/>
      <x:c r="E44" s="162"/>
      <x:c r="F44" s="162"/>
      <x:c r="G44" s="162" t="str">
        <x:v>Tot.:</x:v>
      </x:c>
      <x:c r="H44" s="196" t="n">
        <x:v>316</x:v>
      </x:c>
      <x:c r="I44" s="162"/>
      <x:c r="J44" s="163"/>
    </x:row>
    <x:row r="45">
      <x:c r="A45" s="195" t="n">
        <x:v>37</x:v>
      </x:c>
      <x:c r="B45" s="162" t="str">
        <x:v>Chassis / Body</x:v>
      </x:c>
      <x:c r="C45" s="162" t="str">
        <x:v>Lower_Chassis</x:v>
      </x:c>
      <x:c r="D45" s="162" t="str">
        <x:v>-</x:v>
      </x:c>
      <x:c r="E45" s="162" t="str">
        <x:v>PPA+CF</x:v>
      </x:c>
      <x:c r="F45" s="162"/>
      <x:c r="G45" s="162" t="n">
        <x:v>1</x:v>
      </x:c>
      <x:c r="H45" s="196" t="n">
        <x:v>283</x:v>
      </x:c>
      <x:c r="I45" s="162"/>
      <x:c r="J45" s="163" t="str">
        <x:v>base_link</x:v>
      </x:c>
    </x:row>
    <x:row r="46">
      <x:c r="A46" s="195" t="n">
        <x:v>38</x:v>
      </x:c>
      <x:c r="B46" s="162" t="str">
        <x:v>Fastners</x:v>
      </x:c>
      <x:c r="C46" s="162"/>
      <x:c r="D46" s="162"/>
      <x:c r="E46" s="162" t="str">
        <x:v>Steel</x:v>
      </x:c>
      <x:c r="F46" s="162"/>
      <x:c r="G46" s="162" t="n">
        <x:v>1</x:v>
      </x:c>
      <x:c r="H46" s="196" t="n">
        <x:v>2</x:v>
      </x:c>
      <x:c r="I46" s="162"/>
      <x:c r="J46" s="163" t="str">
        <x:v>base_link</x:v>
      </x:c>
    </x:row>
    <x:row r="47">
      <x:c r="A47" s="195" t="n">
        <x:v>39</x:v>
      </x:c>
      <x:c r="B47" s="162" t="str">
        <x:v>Actuator / Motor</x:v>
      </x:c>
      <x:c r="C47" s="162" t="str">
        <x:v>ACT_HD_Base_Yaw_51</x:v>
      </x:c>
      <x:c r="D47" s="162" t="str">
        <x:v>CN</x:v>
      </x:c>
      <x:c r="E47" s="162" t="str">
        <x:v>-</x:v>
      </x:c>
      <x:c r="F47" s="162"/>
      <x:c r="G47" s="162" t="n">
        <x:v>1</x:v>
      </x:c>
      <x:c r="H47" s="196" t="n">
        <x:v>61</x:v>
      </x:c>
      <x:c r="I47" s="162" t="str">
        <x:v>ID_motor:41</x:v>
      </x:c>
      <x:c r="J47" s="163" t="str">
        <x:v>Not in REV00 URDF (future neck/head link)</x:v>
      </x:c>
    </x:row>
    <x:row r="48">
      <x:c r="A48" s="195"/>
      <x:c r="B48" s="162"/>
      <x:c r="C48" s="162"/>
      <x:c r="D48" s="162"/>
      <x:c r="E48" s="162"/>
      <x:c r="F48" s="162"/>
      <x:c r="G48" s="162"/>
      <x:c r="H48" s="196"/>
      <x:c r="I48" s="162"/>
      <x:c r="J48" s="163"/>
    </x:row>
    <x:row r="49">
      <x:c r="A49" s="195"/>
      <x:c r="B49" s="162"/>
      <x:c r="C49" s="162"/>
      <x:c r="D49" s="162"/>
      <x:c r="E49" s="162"/>
      <x:c r="F49" s="162"/>
      <x:c r="G49" s="162"/>
      <x:c r="H49" s="196"/>
      <x:c r="I49" s="162"/>
      <x:c r="J49" s="163"/>
    </x:row>
    <x:row r="50">
      <x:c r="A50" s="195"/>
      <x:c r="B50" s="162"/>
      <x:c r="C50" s="162"/>
      <x:c r="D50" s="162"/>
      <x:c r="E50" s="162"/>
      <x:c r="F50" s="162"/>
      <x:c r="G50" s="162"/>
      <x:c r="H50" s="196"/>
      <x:c r="I50" s="162"/>
      <x:c r="J50" s="163"/>
    </x:row>
    <x:row r="51">
      <x:c r="A51" s="195"/>
      <x:c r="B51" s="162"/>
      <x:c r="C51" s="162"/>
      <x:c r="D51" s="162"/>
      <x:c r="E51" s="162"/>
      <x:c r="F51" s="162"/>
      <x:c r="G51" s="162"/>
      <x:c r="H51" s="196"/>
      <x:c r="I51" s="162"/>
      <x:c r="J51" s="163"/>
    </x:row>
    <x:row r="52">
      <x:c r="A52" s="197"/>
      <x:c r="B52" s="166"/>
      <x:c r="C52" s="166"/>
      <x:c r="D52" s="166"/>
      <x:c r="E52" s="166"/>
      <x:c r="F52" s="166"/>
      <x:c r="G52" s="166" t="str">
        <x:v>Tot.:</x:v>
      </x:c>
      <x:c r="H52" s="198" t="n">
        <x:v>1610</x:v>
      </x:c>
      <x:c r="I52" s="166"/>
      <x:c r="J52" s="167"/>
    </x:row>
    <x:row r="53">
      <x:c r="H53" s="152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3" max="3" width="68" hidden="0" customWidth="1"/>
    <x:col min="4" max="4" width="54" hidden="0" customWidth="1"/>
    <x:col min="5" max="5" width="23" hidden="0" customWidth="1"/>
  </x:cols>
  <x:sheetData>
    <x:row r="1" ht="24" customHeight="1">
      <x:c r="A1" s="289" t="str">
        <x:v>MATDOG — Audit URDF REV01-FIX con proprietà dinamiche</x:v>
      </x:c>
      <x:c r="B1" s="289"/>
      <x:c r="C1" s="289"/>
      <x:c r="D1" s="289"/>
      <x:c r="E1" s="289"/>
    </x:row>
    <x:row r="2" ht="34" customHeight="1">
      <x:c r="A2" s="294" t="str">
        <x:v>Audit aggiornato: struttura, joint, mesh, scala STL mm→m, limiti, masse CAD, CoM per-link e tensori d’inerzia.</x:v>
      </x:c>
      <x:c r="B2" s="294"/>
      <x:c r="C2" s="294"/>
      <x:c r="D2" s="294"/>
      <x:c r="E2" s="294"/>
    </x:row>
    <x:row r="4" ht="32" customHeight="1">
      <x:c r="A4" s="390" t="str">
        <x:v>Area</x:v>
      </x:c>
      <x:c r="B4" s="390" t="str">
        <x:v>Esito</x:v>
      </x:c>
      <x:c r="C4" s="390" t="str">
        <x:v>Dettaglio</x:v>
      </x:c>
      <x:c r="D4" s="390" t="str">
        <x:v>Azione</x:v>
      </x:c>
      <x:c r="E4" s="390" t="str">
        <x:v>Stato</x:v>
      </x:c>
    </x:row>
    <x:row r="5" ht="38" customHeight="1">
      <x:c r="A5" s="301" t="str">
        <x:v>Struttura</x:v>
      </x:c>
      <x:c r="B5" s="301" t="str">
        <x:v>PASS</x:v>
      </x:c>
      <x:c r="C5" s="301" t="str">
        <x:v>17 link · 16 joint · singola root: base_link.</x:v>
      </x:c>
      <x:c r="D5" s="301" t="str">
        <x:v>Nessuna.</x:v>
      </x:c>
      <x:c r="E5" s="301" t="str">
        <x:v>Pulito</x:v>
      </x:c>
    </x:row>
    <x:row r="6" ht="38" customHeight="1">
      <x:c r="A6" s="301" t="str">
        <x:v>Catene cinematiche</x:v>
      </x:c>
      <x:c r="B6" s="301" t="str">
        <x:v>PASS</x:v>
      </x:c>
      <x:c r="C6" s="301" t="str">
        <x:v>4 catene complete: hip → upper → lower → foot.</x:v>
      </x:c>
      <x:c r="D6" s="301" t="str">
        <x:v>Nessuna.</x:v>
      </x:c>
      <x:c r="E6" s="301" t="str">
        <x:v>Pulito</x:v>
      </x:c>
    </x:row>
    <x:row r="7" ht="38" customHeight="1">
      <x:c r="A7" s="301" t="str">
        <x:v>Coordinate joint</x:v>
      </x:c>
      <x:c r="B7" s="301" t="str">
        <x:v>PASS</x:v>
      </x:c>
      <x:c r="C7" s="301" t="str">
        <x:v>Tutti gli origin joint sono nel parent-link frame; rpy joint = 0.</x:v>
      </x:c>
      <x:c r="D7" s="301" t="str">
        <x:v>Nessuna.</x:v>
      </x:c>
      <x:c r="E7" s="301" t="str">
        <x:v>Pulito</x:v>
      </x:c>
    </x:row>
    <x:row r="8" ht="38" customHeight="1">
      <x:c r="A8" s="301" t="str">
        <x:v>Lower leg limits</x:v>
      </x:c>
      <x:c r="B8" s="301" t="str">
        <x:v>PASS</x:v>
      </x:c>
      <x:c r="C8" s="301" t="str">
        <x:v>4 joint: θmin = -92° (-1.605702911835 rad) · θmax = +37.5°.</x:v>
      </x:c>
      <x:c r="D8" s="301" t="str">
        <x:v>Aggiornati nella presente revisione.</x:v>
      </x:c>
      <x:c r="E8" s="301" t="str">
        <x:v>Canonico</x:v>
      </x:c>
    </x:row>
    <x:row r="9" ht="38" customHeight="1">
      <x:c r="A9" s="301" t="str">
        <x:v>Upper leg limits</x:v>
      </x:c>
      <x:c r="B9" s="301" t="str">
        <x:v>PASS</x:v>
      </x:c>
      <x:c r="C9" s="301" t="str">
        <x:v>4 joint: θmin = -52.5° · θmax = +122.5°.</x:v>
      </x:c>
      <x:c r="D9" s="301" t="str">
        <x:v>Nessuna.</x:v>
      </x:c>
      <x:c r="E9" s="301" t="str">
        <x:v>Canonico</x:v>
      </x:c>
    </x:row>
    <x:row r="10" ht="38" customHeight="1">
      <x:c r="A10" s="301" t="str">
        <x:v>Mesh references</x:v>
      </x:c>
      <x:c r="B10" s="301" t="str">
        <x:v>PASS</x:v>
      </x:c>
      <x:c r="C10" s="301" t="str">
        <x:v>34 riferimenti mesh (visual + collision), tutti a meshes/collision/*.stl: una sola STL per link per entrambi; 17 asset unici; ogni mesh dichiara scale="0.001 0.001 0.001".</x:v>
      </x:c>
      <x:c r="D10" s="301" t="str">
        <x:v>Unificati in REV01-FIX (STL solo estetiche rimosse).</x:v>
      </x:c>
      <x:c r="E10" s="301" t="str">
        <x:v>Canonico</x:v>
      </x:c>
    </x:row>
    <x:row r="11" ht="38" customHeight="1">
      <x:c r="A11" s="301" t="str">
        <x:v>Mesh origins</x:v>
      </x:c>
      <x:c r="B11" s="301" t="str">
        <x:v>PASS</x:v>
      </x:c>
      <x:c r="C11" s="301" t="str">
        <x:v>17 link: visual e collision usano xyz 0,0,0 · rpy 0,0,0.</x:v>
      </x:c>
      <x:c r="D11" s="301" t="str">
        <x:v>Nessuna.</x:v>
      </x:c>
      <x:c r="E11" s="301" t="str">
        <x:v>Pulito</x:v>
      </x:c>
    </x:row>
    <x:row r="12" ht="38" customHeight="1">
      <x:c r="A12" s="301" t="str">
        <x:v>Visual / Collision</x:v>
      </x:c>
      <x:c r="B12" s="301" t="str">
        <x:v>PASS</x:v>
      </x:c>
      <x:c r="C12" s="301" t="str">
        <x:v>Per ciascun link visual e collision usano stessa mesh e stessa origin.</x:v>
      </x:c>
      <x:c r="D12" s="301" t="str">
        <x:v>Scelta attuale conservata.</x:v>
      </x:c>
      <x:c r="E12" s="301" t="str">
        <x:v>Coerente</x:v>
      </x:c>
    </x:row>
    <x:row r="13" ht="38" customHeight="1">
      <x:c r="A13" s="391" t="str">
        <x:v>Masses + CoM</x:v>
      </x:c>
      <x:c r="B13" s="391" t="str">
        <x:v>PASS</x:v>
      </x:c>
      <x:c r="C13" s="391" t="str">
        <x:v>2.928 kg from the Solid Edge per-link reports of 2026-10-30 (assembly 2.937 kg; 9 g = 1 g report resolution); every modeled link has a CAD CoM in its local URDF frame.</x:v>
      </x:c>
      <x:c r="D13" s="391" t="str">
        <x:v>Inserted in standard &lt;inertial&gt; blocks.</x:v>
      </x:c>
      <x:c r="E13" s="391" t="str">
        <x:v>Simulation-ready</x:v>
      </x:c>
    </x:row>
    <x:row r="14" ht="38" customHeight="1">
      <x:c r="A14" s="391" t="str">
        <x:v>Inertia tensors</x:v>
      </x:c>
      <x:c r="B14" s="391" t="str">
        <x:v>PASS</x:v>
      </x:c>
      <x:c r="C14" s="391" t="str">
        <x:v>Tensors reconstructed at CoM from principal axes + radii of gyration; positive definite, symmetric, triangle inequality verified; symmetry-derived legs aggregate-check against the full CAD assembly (CoM 0.42 mm).</x:v>
      </x:c>
      <x:c r="D14" s="391" t="str">
        <x:v>Inserted in standard &lt;inertial&gt; blocks.</x:v>
      </x:c>
      <x:c r="E14" s="391" t="str">
        <x:v>Simulation-ready</x:v>
      </x:c>
    </x:row>
    <x:row r="15" ht="38" customHeight="1">
      <x:c r="A15" s="392" t="str">
        <x:v>Neck yaw scope</x:v>
      </x:c>
      <x:c r="B15" s="392" t="str">
        <x:v>INFO</x:v>
      </x:c>
      <x:c r="C15" s="392" t="str">
        <x:v>No standalone neck yaw link or mounted-frame inertial report is included.</x:v>
      </x:c>
      <x:c r="D15" s="392" t="str">
        <x:v>Keep excluded until dedicated CAD export is available.</x:v>
      </x:c>
      <x:c r="E15" s="392" t="str">
        <x:v>Controlled scope</x:v>
      </x:c>
    </x:row>
    <x:row r="16">
      <x:c r="A16" t="str" s="392">
        <x:v>Hip origin Z</x:v>
      </x:c>
      <x:c r="B16" t="str" s="392">
        <x:v>PASS</x:v>
      </x:c>
      <x:c r="C16" t="str" s="392">
        <x:v>LF/RF 0.0487 m, RH/LH 0.0287 m (+2.2 mm vs REV00); X/Y unchanged.</x:v>
      </x:c>
      <x:c r="D16" t="str" s="392">
        <x:v>Aggiornato in REV01-FIX.</x:v>
      </x:c>
      <x:c r="E16" t="str" s="392">
        <x:v>Canonico</x:v>
      </x:c>
    </x:row>
  </x:sheetData>
  <x:mergeCells>
    <x:mergeCell ref="A1:E1"/>
    <x:mergeCell ref="A2:E2"/>
  </x:mergeCells>
  <x:conditionalFormatting sqref="B5:B11">
    <x:cfRule type="expression" dxfId="0" priority="1">
      <x:formula>B5="PASS"</x:formula>
    </x:cfRule>
  </x:conditionalFormatting>
  <x:conditionalFormatting sqref="B12:B14">
    <x:cfRule type="expression" dxfId="1" priority="2">
      <x:formula>B12="INFO"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" hidden="0" customWidth="1"/>
    <x:col min="3" max="3" width="21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9" hidden="0" customWidth="1"/>
    <x:col min="15" max="15" width="40" hidden="0" customWidth="1"/>
    <x:col min="16" max="16" width="48" hidden="0" customWidth="1"/>
    <x:col min="17" max="17" width="22" hidden="0" customWidth="1"/>
  </x:cols>
  <x:sheetData>
    <x:row r="1" ht="24" customHeight="1">
      <x:c r="A1" s="289" t="str">
        <x:v>MATDOG — Proprietà inerziali REV01-FIX (Solid Edge 2026-10-30, configurazione nominale con Jetson Orin)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</x:row>
    <x:row r="2" ht="36" customHeight="1">
      <x:c r="A2" s="294" t="str">
        <x:v>Fonte canonica per il modello dinamico: masse dei report Solid Edge (risoluzione 1 g), baricentri per-link e tensori d’inerzia al centro di massa, espressi nei frame URDF dei link. Un’unica configurazione nominale, comprensiva della Jetson Orin (175 g, nel base_link). Lo storico REV00 è in Git (commit 0f8f7ff).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</x:row>
    <x:row r="4" ht="32" customHeight="1">
      <x:c r="A4" s="300" t="str">
        <x:v>Link</x:v>
      </x:c>
      <x:c r="B4" s="300" t="str">
        <x:v>Leg</x:v>
      </x:c>
      <x:c r="C4" s="300" t="str">
        <x:v>CAD subassembly</x:v>
      </x:c>
      <x:c r="D4" s="300" t="str">
        <x:v>Mass
[kg]</x:v>
      </x:c>
      <x:c r="E4" s="300" t="str">
        <x:v>CoM X
[m]</x:v>
      </x:c>
      <x:c r="F4" s="300" t="str">
        <x:v>CoM Y
[m]</x:v>
      </x:c>
      <x:c r="G4" s="300" t="str">
        <x:v>CoM Z
[m]</x:v>
      </x:c>
      <x:c r="H4" s="300" t="str">
        <x:v>Ixx
[kg·m²]</x:v>
      </x:c>
      <x:c r="I4" s="300" t="str">
        <x:v>Ixy
[kg·m²]</x:v>
      </x:c>
      <x:c r="J4" s="300" t="str">
        <x:v>Ixz
[kg·m²]</x:v>
      </x:c>
      <x:c r="K4" s="300" t="str">
        <x:v>Iyy
[kg·m²]</x:v>
      </x:c>
      <x:c r="L4" s="300" t="str">
        <x:v>Iyz
[kg·m²]</x:v>
      </x:c>
      <x:c r="M4" s="300" t="str">
        <x:v>Izz
[kg·m²]</x:v>
      </x:c>
      <x:c r="N4" s="300" t="str">
        <x:v>Evidence</x:v>
      </x:c>
      <x:c r="O4" s="300" t="str">
        <x:v>Derivation / symmetry rule</x:v>
      </x:c>
      <x:c r="P4" s="300" t="str">
        <x:v>Source files</x:v>
      </x:c>
      <x:c r="Q4" s="300" t="str">
        <x:v>URDF state</x:v>
      </x:c>
    </x:row>
    <x:row r="5">
      <x:c r="A5" s="301" t="str">
        <x:v>base_link</x:v>
      </x:c>
      <x:c r="B5" s="301" t="str">
        <x:v>Body</x:v>
      </x:c>
      <x:c r="C5" s="301" t="str">
        <x:v>Base assembly</x:v>
      </x:c>
      <x:c r="D5" s="303">
        <x:v>1.828</x:v>
      </x:c>
      <x:c r="E5" s="303">
        <x:v>-0.00693</x:v>
      </x:c>
      <x:c r="F5" s="303">
        <x:v>-0.00044</x:v>
      </x:c>
      <x:c r="G5" s="303">
        <x:v>0.03657</x:v>
      </x:c>
      <x:c r="H5" s="302">
        <x:v>0.0018854712506707848</x:v>
      </x:c>
      <x:c r="I5" s="302">
        <x:v>-1.4261469087260915e-05</x:v>
      </x:c>
      <x:c r="J5" s="302">
        <x:v>-0.0002559907740315669</x:v>
      </x:c>
      <x:c r="K5" s="302">
        <x:v>0.013608332574946251</x:v>
      </x:c>
      <x:c r="L5" s="302">
        <x:v>-1.159821782422323e-05</x:v>
      </x:c>
      <x:c r="M5" s="302">
        <x:v>0.014054012486782997</x:v>
      </x:c>
      <x:c r="N5" s="301" t="str">
        <x:v>DIRECT CAD</x:v>
      </x:c>
      <x:c r="O5" s="301" t="str">
        <x:v>CAD direct: principal axes + radii of gyration</x:v>
      </x:c>
      <x:c r="P5" s="301" t="str">
        <x:v>base_link__physprop.txt (Solid Edge 2026-10-30)</x:v>
      </x:c>
      <x:c r="Q5" s="301" t="str">
        <x:v>URDF &lt;inertial&gt; updated 2026-10-31</x:v>
      </x:c>
    </x:row>
    <x:row r="6">
      <x:c r="A6" s="301" t="str">
        <x:v>lf_hip_link</x:v>
      </x:c>
      <x:c r="B6" s="301" t="str">
        <x:v>LF</x:v>
      </x:c>
      <x:c r="C6" s="301" t="str">
        <x:v>Hip subassembly</x:v>
      </x:c>
      <x:c r="D6" s="303">
        <x:v>0.05</x:v>
      </x:c>
      <x:c r="E6" s="303">
        <x:v>0.00366</x:v>
      </x:c>
      <x:c r="F6" s="303">
        <x:v>0.02982</x:v>
      </x:c>
      <x:c r="G6" s="303">
        <x:v>0.00694</x:v>
      </x:c>
      <x:c r="H6" s="302">
        <x:v>4.022523475913449e-05</x:v>
      </x:c>
      <x:c r="I6" s="302">
        <x:v>-1.3146276892716857e-06</x:v>
      </x:c>
      <x:c r="J6" s="302">
        <x:v>-1.1395371633858386e-06</x:v>
      </x:c>
      <x:c r="K6" s="302">
        <x:v>1.8958128496012147e-05</x:v>
      </x:c>
      <x:c r="L6" s="302">
        <x:v>-4.464006700211402e-06</x:v>
      </x:c>
      <x:c r="M6" s="302">
        <x:v>4.542808674485334e-05</x:v>
      </x:c>
      <x:c r="N6" s="301" t="str">
        <x:v>DIRECT CAD</x:v>
      </x:c>
      <x:c r="O6" s="301" t="str">
        <x:v>CAD direct: principal axes + radii of gyration</x:v>
      </x:c>
      <x:c r="P6" s="301" t="str">
        <x:v>lf_hip_link__physprop.txt (Solid Edge 2026-10-30)</x:v>
      </x:c>
      <x:c r="Q6" s="301" t="str">
        <x:v>URDF &lt;inertial&gt; updated 2026-10-31</x:v>
      </x:c>
    </x:row>
    <x:row r="7">
      <x:c r="A7" s="301" t="str">
        <x:v>lf_upper_leg_link</x:v>
      </x:c>
      <x:c r="B7" s="301" t="str">
        <x:v>LF</x:v>
      </x:c>
      <x:c r="C7" s="301" t="str">
        <x:v>Upper-leg subassembly</x:v>
      </x:c>
      <x:c r="D7" s="303">
        <x:v>0.152</x:v>
      </x:c>
      <x:c r="E7" s="303">
        <x:v>0.00122</x:v>
      </x:c>
      <x:c r="F7" s="303">
        <x:v>0.00014</x:v>
      </x:c>
      <x:c r="G7" s="303">
        <x:v>-0.04503</x:v>
      </x:c>
      <x:c r="H7" s="302">
        <x:v>0.0001793475307052647</x:v>
      </x:c>
      <x:c r="I7" s="302">
        <x:v>-6.26631577579123e-08</x:v>
      </x:c>
      <x:c r="J7" s="302">
        <x:v>0</x:v>
      </x:c>
      <x:c r="K7" s="302">
        <x:v>0.0001736515692947353</x:v>
      </x:c>
      <x:c r="L7" s="302">
        <x:v>0</x:v>
      </x:c>
      <x:c r="M7" s="302">
        <x:v>2.8445644799999997e-05</x:v>
      </x:c>
      <x:c r="N7" s="301" t="str">
        <x:v>DIRECT CAD</x:v>
      </x:c>
      <x:c r="O7" s="301" t="str">
        <x:v>CAD direct: principal axes + radii of gyration</x:v>
      </x:c>
      <x:c r="P7" s="301" t="str">
        <x:v>lf_upper_leg_link__physprop.txt (Solid Edge 2026-10-30)</x:v>
      </x:c>
      <x:c r="Q7" s="301" t="str">
        <x:v>URDF &lt;inertial&gt; updated 2026-10-31</x:v>
      </x:c>
    </x:row>
    <x:row r="8">
      <x:c r="A8" s="301" t="str">
        <x:v>lf_lower_leg_link</x:v>
      </x:c>
      <x:c r="B8" s="301" t="str">
        <x:v>LF</x:v>
      </x:c>
      <x:c r="C8" s="301" t="str">
        <x:v>Lower-leg subassembly</x:v>
      </x:c>
      <x:c r="D8" s="303">
        <x:v>0.059</x:v>
      </x:c>
      <x:c r="E8" s="303">
        <x:v>0.03075</x:v>
      </x:c>
      <x:c r="F8" s="303">
        <x:v>-0.00118</x:v>
      </x:c>
      <x:c r="G8" s="303">
        <x:v>-0.01958</x:v>
      </x:c>
      <x:c r="H8" s="302">
        <x:v>2.1336446929790997e-05</x:v>
      </x:c>
      <x:c r="I8" s="302">
        <x:v>6.041799841230725e-07</x:v>
      </x:c>
      <x:c r="J8" s="302">
        <x:v>1.6688800623674613e-05</x:v>
      </x:c>
      <x:c r="K8" s="302">
        <x:v>0.00010166845570177805</x:v>
      </x:c>
      <x:c r="L8" s="302">
        <x:v>-3.688275776795085e-07</x:v>
      </x:c>
      <x:c r="M8" s="302">
        <x:v>0.00010344482636843086</x:v>
      </x:c>
      <x:c r="N8" s="301" t="str">
        <x:v>DIRECT CAD</x:v>
      </x:c>
      <x:c r="O8" s="301" t="str">
        <x:v>CAD direct: principal axes + radii of gyration</x:v>
      </x:c>
      <x:c r="P8" s="301" t="str">
        <x:v>lf_lower_leg_link__physprop.txt (Solid Edge 2026-10-30)</x:v>
      </x:c>
      <x:c r="Q8" s="301" t="str">
        <x:v>URDF &lt;inertial&gt; updated 2026-10-31</x:v>
      </x:c>
    </x:row>
    <x:row r="9">
      <x:c r="A9" s="301" t="str">
        <x:v>lf_foot_link</x:v>
      </x:c>
      <x:c r="B9" s="301" t="str">
        <x:v>LF</x:v>
      </x:c>
      <x:c r="C9" s="301" t="str">
        <x:v>Foot subassembly</x:v>
      </x:c>
      <x:c r="D9" s="303">
        <x:v>0.014</x:v>
      </x:c>
      <x:c r="E9" s="303">
        <x:v>-0.00074</x:v>
      </x:c>
      <x:c r="F9" s="303">
        <x:v>0</x:v>
      </x:c>
      <x:c r="G9" s="303">
        <x:v>0.01572</x:v>
      </x:c>
      <x:c r="H9" s="302">
        <x:v>8.920990589937979e-07</x:v>
      </x:c>
      <x:c r="I9" s="302">
        <x:v>0</x:v>
      </x:c>
      <x:c r="J9" s="302">
        <x:v>-5.562092867964478e-09</x:v>
      </x:c>
      <x:c r="K9" s="302">
        <x:v>8.430463999999999e-07</x:v>
      </x:c>
      <x:c r="L9" s="302">
        <x:v>0</x:v>
      </x:c>
      <x:c r="M9" s="302">
        <x:v>8.932047410062023e-07</x:v>
      </x:c>
      <x:c r="N9" s="301" t="str">
        <x:v>DIRECT CAD</x:v>
      </x:c>
      <x:c r="O9" s="301" t="str">
        <x:v>CAD direct: principal axes + radii of gyration</x:v>
      </x:c>
      <x:c r="P9" s="301" t="str">
        <x:v>lf_foot_link__physprop.txt (Solid Edge 2026-10-30)</x:v>
      </x:c>
      <x:c r="Q9" s="301" t="str">
        <x:v>URDF &lt;inertial&gt; updated 2026-10-31</x:v>
      </x:c>
    </x:row>
    <x:row r="10">
      <x:c r="A10" s="301" t="str">
        <x:v>rf_hip_link</x:v>
      </x:c>
      <x:c r="B10" s="301" t="str">
        <x:v>RF</x:v>
      </x:c>
      <x:c r="C10" s="301" t="str">
        <x:v>Hip subassembly</x:v>
      </x:c>
      <x:c r="D10" s="303">
        <x:v>0.05</x:v>
      </x:c>
      <x:c r="E10" s="303">
        <x:v>0.00366</x:v>
      </x:c>
      <x:c r="F10" s="303">
        <x:v>-0.02982</x:v>
      </x:c>
      <x:c r="G10" s="303">
        <x:v>0.00694</x:v>
      </x:c>
      <x:c r="H10" s="302">
        <x:v>4.022523475913449e-05</x:v>
      </x:c>
      <x:c r="I10" s="302">
        <x:v>1.3146276892716857e-06</x:v>
      </x:c>
      <x:c r="J10" s="302">
        <x:v>-1.1395371633858386e-06</x:v>
      </x:c>
      <x:c r="K10" s="302">
        <x:v>1.8958128496012147e-05</x:v>
      </x:c>
      <x:c r="L10" s="302">
        <x:v>4.464006700211402e-06</x:v>
      </x:c>
      <x:c r="M10" s="302">
        <x:v>4.542808674485334e-05</x:v>
      </x:c>
      <x:c r="N10" s="301" t="str">
        <x:v>DERIVED BY SYMMETRY</x:v>
      </x:c>
      <x:c r="O10" s="301" t="str">
        <x:v>CAD symmetry-derived from LF: Y reflection of LF</x:v>
      </x:c>
      <x:c r="P10" s="301" t="str">
        <x:v>lf_hip_link__physprop.txt (Solid Edge 2026-10-30)</x:v>
      </x:c>
      <x:c r="Q10" s="301" t="str">
        <x:v>URDF &lt;inertial&gt; updated 2026-10-31</x:v>
      </x:c>
    </x:row>
    <x:row r="11">
      <x:c r="A11" s="301" t="str">
        <x:v>rf_upper_leg_link</x:v>
      </x:c>
      <x:c r="B11" s="301" t="str">
        <x:v>RF</x:v>
      </x:c>
      <x:c r="C11" s="301" t="str">
        <x:v>Upper-leg subassembly</x:v>
      </x:c>
      <x:c r="D11" s="303">
        <x:v>0.152</x:v>
      </x:c>
      <x:c r="E11" s="303">
        <x:v>0.00122</x:v>
      </x:c>
      <x:c r="F11" s="303">
        <x:v>-0.00014</x:v>
      </x:c>
      <x:c r="G11" s="303">
        <x:v>-0.04503</x:v>
      </x:c>
      <x:c r="H11" s="302">
        <x:v>0.0001793475307052647</x:v>
      </x:c>
      <x:c r="I11" s="302">
        <x:v>6.26631577579123e-08</x:v>
      </x:c>
      <x:c r="J11" s="302">
        <x:v>0</x:v>
      </x:c>
      <x:c r="K11" s="302">
        <x:v>0.0001736515692947353</x:v>
      </x:c>
      <x:c r="L11" s="302">
        <x:v>0</x:v>
      </x:c>
      <x:c r="M11" s="302">
        <x:v>2.8445644799999997e-05</x:v>
      </x:c>
      <x:c r="N11" s="301" t="str">
        <x:v>DERIVED BY SYMMETRY</x:v>
      </x:c>
      <x:c r="O11" s="301" t="str">
        <x:v>CAD symmetry-derived from LF: Y reflection of LF</x:v>
      </x:c>
      <x:c r="P11" s="301" t="str">
        <x:v>lf_upper_leg_link__physprop.txt (Solid Edge 2026-10-30)</x:v>
      </x:c>
      <x:c r="Q11" s="301" t="str">
        <x:v>URDF &lt;inertial&gt; updated 2026-10-31</x:v>
      </x:c>
    </x:row>
    <x:row r="12">
      <x:c r="A12" s="301" t="str">
        <x:v>rf_lower_leg_link</x:v>
      </x:c>
      <x:c r="B12" s="301" t="str">
        <x:v>RF</x:v>
      </x:c>
      <x:c r="C12" s="301" t="str">
        <x:v>Lower-leg subassembly</x:v>
      </x:c>
      <x:c r="D12" s="303">
        <x:v>0.059</x:v>
      </x:c>
      <x:c r="E12" s="303">
        <x:v>0.03075</x:v>
      </x:c>
      <x:c r="F12" s="303">
        <x:v>0.00118</x:v>
      </x:c>
      <x:c r="G12" s="303">
        <x:v>-0.01958</x:v>
      </x:c>
      <x:c r="H12" s="302">
        <x:v>2.1336446929790997e-05</x:v>
      </x:c>
      <x:c r="I12" s="302">
        <x:v>-6.041799841230725e-07</x:v>
      </x:c>
      <x:c r="J12" s="302">
        <x:v>1.6688800623674613e-05</x:v>
      </x:c>
      <x:c r="K12" s="302">
        <x:v>0.00010166845570177805</x:v>
      </x:c>
      <x:c r="L12" s="302">
        <x:v>3.688275776795085e-07</x:v>
      </x:c>
      <x:c r="M12" s="302">
        <x:v>0.00010344482636843086</x:v>
      </x:c>
      <x:c r="N12" s="301" t="str">
        <x:v>DERIVED BY SYMMETRY</x:v>
      </x:c>
      <x:c r="O12" s="301" t="str">
        <x:v>CAD symmetry-derived from LF: Y reflection of LF</x:v>
      </x:c>
      <x:c r="P12" s="301" t="str">
        <x:v>lf_lower_leg_link__physprop.txt (Solid Edge 2026-10-30)</x:v>
      </x:c>
      <x:c r="Q12" s="301" t="str">
        <x:v>URDF &lt;inertial&gt; updated 2026-10-31</x:v>
      </x:c>
    </x:row>
    <x:row r="13">
      <x:c r="A13" s="301" t="str">
        <x:v>rf_foot_link</x:v>
      </x:c>
      <x:c r="B13" s="301" t="str">
        <x:v>RF</x:v>
      </x:c>
      <x:c r="C13" s="301" t="str">
        <x:v>Foot subassembly</x:v>
      </x:c>
      <x:c r="D13" s="303">
        <x:v>0.014</x:v>
      </x:c>
      <x:c r="E13" s="303">
        <x:v>-0.00074</x:v>
      </x:c>
      <x:c r="F13" s="303">
        <x:v>0</x:v>
      </x:c>
      <x:c r="G13" s="303">
        <x:v>0.01572</x:v>
      </x:c>
      <x:c r="H13" s="302">
        <x:v>8.920990589937979e-07</x:v>
      </x:c>
      <x:c r="I13" s="302">
        <x:v>0</x:v>
      </x:c>
      <x:c r="J13" s="302">
        <x:v>-5.562092867964478e-09</x:v>
      </x:c>
      <x:c r="K13" s="302">
        <x:v>8.430463999999999e-07</x:v>
      </x:c>
      <x:c r="L13" s="302">
        <x:v>0</x:v>
      </x:c>
      <x:c r="M13" s="302">
        <x:v>8.932047410062023e-07</x:v>
      </x:c>
      <x:c r="N13" s="301" t="str">
        <x:v>DERIVED BY SYMMETRY</x:v>
      </x:c>
      <x:c r="O13" s="301" t="str">
        <x:v>CAD symmetry-derived from LF: identical foot geometry (LF copied)</x:v>
      </x:c>
      <x:c r="P13" s="301" t="str">
        <x:v>lf_foot_link__physprop.txt (Solid Edge 2026-10-30)</x:v>
      </x:c>
      <x:c r="Q13" s="301" t="str">
        <x:v>URDF &lt;inertial&gt; updated 2026-10-31</x:v>
      </x:c>
    </x:row>
    <x:row r="14">
      <x:c r="A14" s="301" t="str">
        <x:v>rh_hip_link</x:v>
      </x:c>
      <x:c r="B14" s="301" t="str">
        <x:v>RH</x:v>
      </x:c>
      <x:c r="C14" s="301" t="str">
        <x:v>Hip subassembly</x:v>
      </x:c>
      <x:c r="D14" s="303">
        <x:v>0.05</x:v>
      </x:c>
      <x:c r="E14" s="303">
        <x:v>0.00366</x:v>
      </x:c>
      <x:c r="F14" s="303">
        <x:v>-0.02982</x:v>
      </x:c>
      <x:c r="G14" s="303">
        <x:v>0.00694</x:v>
      </x:c>
      <x:c r="H14" s="302">
        <x:v>4.022523475913449e-05</x:v>
      </x:c>
      <x:c r="I14" s="302">
        <x:v>1.3146276892716857e-06</x:v>
      </x:c>
      <x:c r="J14" s="302">
        <x:v>-1.1395371633858386e-06</x:v>
      </x:c>
      <x:c r="K14" s="302">
        <x:v>1.8958128496012147e-05</x:v>
      </x:c>
      <x:c r="L14" s="302">
        <x:v>4.464006700211402e-06</x:v>
      </x:c>
      <x:c r="M14" s="302">
        <x:v>4.542808674485334e-05</x:v>
      </x:c>
      <x:c r="N14" s="301" t="str">
        <x:v>DERIVED BY SYMMETRY</x:v>
      </x:c>
      <x:c r="O14" s="301" t="str">
        <x:v>CAD symmetry-derived from LF: Y reflection of LF (rear hip mesh differs from LF by 0.21 mm CoM / 0.8 % inertia: mesh estimate, not CAD)</x:v>
      </x:c>
      <x:c r="P14" s="301" t="str">
        <x:v>lf_hip_link__physprop.txt (Solid Edge 2026-10-30)</x:v>
      </x:c>
      <x:c r="Q14" s="301" t="str">
        <x:v>URDF &lt;inertial&gt; updated 2026-10-31</x:v>
      </x:c>
    </x:row>
    <x:row r="15">
      <x:c r="A15" s="301" t="str">
        <x:v>rh_upper_leg_link</x:v>
      </x:c>
      <x:c r="B15" s="301" t="str">
        <x:v>RH</x:v>
      </x:c>
      <x:c r="C15" s="301" t="str">
        <x:v>Upper-leg subassembly</x:v>
      </x:c>
      <x:c r="D15" s="303">
        <x:v>0.152</x:v>
      </x:c>
      <x:c r="E15" s="303">
        <x:v>0.00122</x:v>
      </x:c>
      <x:c r="F15" s="303">
        <x:v>-0.00014</x:v>
      </x:c>
      <x:c r="G15" s="303">
        <x:v>-0.04503</x:v>
      </x:c>
      <x:c r="H15" s="302">
        <x:v>0.0001793475307052647</x:v>
      </x:c>
      <x:c r="I15" s="302">
        <x:v>6.26631577579123e-08</x:v>
      </x:c>
      <x:c r="J15" s="302">
        <x:v>0</x:v>
      </x:c>
      <x:c r="K15" s="302">
        <x:v>0.0001736515692947353</x:v>
      </x:c>
      <x:c r="L15" s="302">
        <x:v>0</x:v>
      </x:c>
      <x:c r="M15" s="302">
        <x:v>2.8445644799999997e-05</x:v>
      </x:c>
      <x:c r="N15" s="301" t="str">
        <x:v>DERIVED BY SYMMETRY</x:v>
      </x:c>
      <x:c r="O15" s="301" t="str">
        <x:v>CAD symmetry-derived from LF: Y reflection of LF</x:v>
      </x:c>
      <x:c r="P15" s="301" t="str">
        <x:v>lf_upper_leg_link__physprop.txt (Solid Edge 2026-10-30)</x:v>
      </x:c>
      <x:c r="Q15" s="301" t="str">
        <x:v>URDF &lt;inertial&gt; updated 2026-10-31</x:v>
      </x:c>
    </x:row>
    <x:row r="16">
      <x:c r="A16" s="301" t="str">
        <x:v>rh_lower_leg_link</x:v>
      </x:c>
      <x:c r="B16" s="301" t="str">
        <x:v>RH</x:v>
      </x:c>
      <x:c r="C16" s="301" t="str">
        <x:v>Lower-leg subassembly</x:v>
      </x:c>
      <x:c r="D16" s="303">
        <x:v>0.059</x:v>
      </x:c>
      <x:c r="E16" s="303">
        <x:v>0.03075</x:v>
      </x:c>
      <x:c r="F16" s="303">
        <x:v>0.00118</x:v>
      </x:c>
      <x:c r="G16" s="303">
        <x:v>-0.01958</x:v>
      </x:c>
      <x:c r="H16" s="302">
        <x:v>2.1336446929790997e-05</x:v>
      </x:c>
      <x:c r="I16" s="302">
        <x:v>-6.041799841230725e-07</x:v>
      </x:c>
      <x:c r="J16" s="302">
        <x:v>1.6688800623674613e-05</x:v>
      </x:c>
      <x:c r="K16" s="302">
        <x:v>0.00010166845570177805</x:v>
      </x:c>
      <x:c r="L16" s="302">
        <x:v>3.688275776795085e-07</x:v>
      </x:c>
      <x:c r="M16" s="302">
        <x:v>0.00010344482636843086</x:v>
      </x:c>
      <x:c r="N16" s="301" t="str">
        <x:v>DERIVED BY SYMMETRY</x:v>
      </x:c>
      <x:c r="O16" s="301" t="str">
        <x:v>CAD symmetry-derived from LF: Y reflection of LF</x:v>
      </x:c>
      <x:c r="P16" s="301" t="str">
        <x:v>lf_lower_leg_link__physprop.txt (Solid Edge 2026-10-30)</x:v>
      </x:c>
      <x:c r="Q16" s="301" t="str">
        <x:v>URDF &lt;inertial&gt; updated 2026-10-31</x:v>
      </x:c>
    </x:row>
    <x:row r="17">
      <x:c r="A17" s="301" t="str">
        <x:v>rh_foot_link</x:v>
      </x:c>
      <x:c r="B17" s="301" t="str">
        <x:v>RH</x:v>
      </x:c>
      <x:c r="C17" s="301" t="str">
        <x:v>Foot subassembly</x:v>
      </x:c>
      <x:c r="D17" s="303">
        <x:v>0.014</x:v>
      </x:c>
      <x:c r="E17" s="303">
        <x:v>-0.00074</x:v>
      </x:c>
      <x:c r="F17" s="303">
        <x:v>0</x:v>
      </x:c>
      <x:c r="G17" s="303">
        <x:v>0.01572</x:v>
      </x:c>
      <x:c r="H17" s="302">
        <x:v>8.920990589937979e-07</x:v>
      </x:c>
      <x:c r="I17" s="302">
        <x:v>0</x:v>
      </x:c>
      <x:c r="J17" s="302">
        <x:v>-5.562092867964478e-09</x:v>
      </x:c>
      <x:c r="K17" s="302">
        <x:v>8.430463999999999e-07</x:v>
      </x:c>
      <x:c r="L17" s="302">
        <x:v>0</x:v>
      </x:c>
      <x:c r="M17" s="302">
        <x:v>8.932047410062023e-07</x:v>
      </x:c>
      <x:c r="N17" s="301" t="str">
        <x:v>DERIVED BY SYMMETRY</x:v>
      </x:c>
      <x:c r="O17" s="301" t="str">
        <x:v>CAD symmetry-derived from LF: identical foot geometry (LF copied)</x:v>
      </x:c>
      <x:c r="P17" s="301" t="str">
        <x:v>lf_foot_link__physprop.txt (Solid Edge 2026-10-30)</x:v>
      </x:c>
      <x:c r="Q17" s="301" t="str">
        <x:v>URDF &lt;inertial&gt; updated 2026-10-31</x:v>
      </x:c>
    </x:row>
    <x:row r="18">
      <x:c r="A18" s="301" t="str">
        <x:v>lh_hip_link</x:v>
      </x:c>
      <x:c r="B18" s="301" t="str">
        <x:v>LH</x:v>
      </x:c>
      <x:c r="C18" s="301" t="str">
        <x:v>Hip subassembly</x:v>
      </x:c>
      <x:c r="D18" s="303">
        <x:v>0.05</x:v>
      </x:c>
      <x:c r="E18" s="303">
        <x:v>0.00366</x:v>
      </x:c>
      <x:c r="F18" s="303">
        <x:v>0.02982</x:v>
      </x:c>
      <x:c r="G18" s="303">
        <x:v>0.00694</x:v>
      </x:c>
      <x:c r="H18" s="302">
        <x:v>4.022523475913449e-05</x:v>
      </x:c>
      <x:c r="I18" s="302">
        <x:v>-1.3146276892716857e-06</x:v>
      </x:c>
      <x:c r="J18" s="302">
        <x:v>-1.1395371633858386e-06</x:v>
      </x:c>
      <x:c r="K18" s="302">
        <x:v>1.8958128496012147e-05</x:v>
      </x:c>
      <x:c r="L18" s="302">
        <x:v>-4.464006700211402e-06</x:v>
      </x:c>
      <x:c r="M18" s="302">
        <x:v>4.542808674485334e-05</x:v>
      </x:c>
      <x:c r="N18" s="301" t="str">
        <x:v>DERIVED BY SYMMETRY</x:v>
      </x:c>
      <x:c r="O18" s="301" t="str">
        <x:v>CAD symmetry-derived from LF: same left-side frame as LF (rear hip mesh differs from LF by 0.21 mm CoM / 0.8 % inertia: mesh estimate, not CAD)</x:v>
      </x:c>
      <x:c r="P18" s="301" t="str">
        <x:v>lf_hip_link__physprop.txt (Solid Edge 2026-10-30)</x:v>
      </x:c>
      <x:c r="Q18" s="301" t="str">
        <x:v>URDF &lt;inertial&gt; updated 2026-10-31</x:v>
      </x:c>
    </x:row>
    <x:row r="19">
      <x:c r="A19" s="301" t="str">
        <x:v>lh_upper_leg_link</x:v>
      </x:c>
      <x:c r="B19" s="301" t="str">
        <x:v>LH</x:v>
      </x:c>
      <x:c r="C19" s="301" t="str">
        <x:v>Upper-leg subassembly</x:v>
      </x:c>
      <x:c r="D19" s="303">
        <x:v>0.152</x:v>
      </x:c>
      <x:c r="E19" s="303">
        <x:v>0.00122</x:v>
      </x:c>
      <x:c r="F19" s="303">
        <x:v>0.00014</x:v>
      </x:c>
      <x:c r="G19" s="303">
        <x:v>-0.04503</x:v>
      </x:c>
      <x:c r="H19" s="302">
        <x:v>0.0001793475307052647</x:v>
      </x:c>
      <x:c r="I19" s="302">
        <x:v>-6.26631577579123e-08</x:v>
      </x:c>
      <x:c r="J19" s="302">
        <x:v>0</x:v>
      </x:c>
      <x:c r="K19" s="302">
        <x:v>0.0001736515692947353</x:v>
      </x:c>
      <x:c r="L19" s="302">
        <x:v>0</x:v>
      </x:c>
      <x:c r="M19" s="302">
        <x:v>2.8445644799999997e-05</x:v>
      </x:c>
      <x:c r="N19" s="301" t="str">
        <x:v>DERIVED BY SYMMETRY</x:v>
      </x:c>
      <x:c r="O19" s="301" t="str">
        <x:v>CAD symmetry-derived from LF: same left-side frame as LF</x:v>
      </x:c>
      <x:c r="P19" s="301" t="str">
        <x:v>lf_upper_leg_link__physprop.txt (Solid Edge 2026-10-30)</x:v>
      </x:c>
      <x:c r="Q19" s="301" t="str">
        <x:v>URDF &lt;inertial&gt; updated 2026-10-31</x:v>
      </x:c>
    </x:row>
    <x:row r="20">
      <x:c r="A20" s="301" t="str">
        <x:v>lh_lower_leg_link</x:v>
      </x:c>
      <x:c r="B20" s="301" t="str">
        <x:v>LH</x:v>
      </x:c>
      <x:c r="C20" s="301" t="str">
        <x:v>Lower-leg subassembly</x:v>
      </x:c>
      <x:c r="D20" s="303">
        <x:v>0.059</x:v>
      </x:c>
      <x:c r="E20" s="303">
        <x:v>0.03075</x:v>
      </x:c>
      <x:c r="F20" s="303">
        <x:v>-0.00118</x:v>
      </x:c>
      <x:c r="G20" s="303">
        <x:v>-0.01958</x:v>
      </x:c>
      <x:c r="H20" s="302">
        <x:v>2.1336446929790997e-05</x:v>
      </x:c>
      <x:c r="I20" s="302">
        <x:v>6.041799841230725e-07</x:v>
      </x:c>
      <x:c r="J20" s="302">
        <x:v>1.6688800623674613e-05</x:v>
      </x:c>
      <x:c r="K20" s="302">
        <x:v>0.00010166845570177805</x:v>
      </x:c>
      <x:c r="L20" s="302">
        <x:v>-3.688275776795085e-07</x:v>
      </x:c>
      <x:c r="M20" s="302">
        <x:v>0.00010344482636843086</x:v>
      </x:c>
      <x:c r="N20" s="301" t="str">
        <x:v>DERIVED BY SYMMETRY</x:v>
      </x:c>
      <x:c r="O20" s="301" t="str">
        <x:v>CAD symmetry-derived from LF: same left-side frame as LF</x:v>
      </x:c>
      <x:c r="P20" s="301" t="str">
        <x:v>lf_lower_leg_link__physprop.txt (Solid Edge 2026-10-30)</x:v>
      </x:c>
      <x:c r="Q20" s="301" t="str">
        <x:v>URDF &lt;inertial&gt; updated 2026-10-31</x:v>
      </x:c>
    </x:row>
    <x:row r="21">
      <x:c r="A21" s="301" t="str">
        <x:v>lh_foot_link</x:v>
      </x:c>
      <x:c r="B21" s="301" t="str">
        <x:v>LH</x:v>
      </x:c>
      <x:c r="C21" s="301" t="str">
        <x:v>Foot subassembly</x:v>
      </x:c>
      <x:c r="D21" s="303">
        <x:v>0.014</x:v>
      </x:c>
      <x:c r="E21" s="303">
        <x:v>-0.00074</x:v>
      </x:c>
      <x:c r="F21" s="303">
        <x:v>0</x:v>
      </x:c>
      <x:c r="G21" s="303">
        <x:v>0.01572</x:v>
      </x:c>
      <x:c r="H21" s="302">
        <x:v>8.920990589937979e-07</x:v>
      </x:c>
      <x:c r="I21" s="302">
        <x:v>0</x:v>
      </x:c>
      <x:c r="J21" s="302">
        <x:v>-5.562092867964478e-09</x:v>
      </x:c>
      <x:c r="K21" s="302">
        <x:v>8.430463999999999e-07</x:v>
      </x:c>
      <x:c r="L21" s="302">
        <x:v>0</x:v>
      </x:c>
      <x:c r="M21" s="302">
        <x:v>8.932047410062023e-07</x:v>
      </x:c>
      <x:c r="N21" s="301" t="str">
        <x:v>DERIVED BY SYMMETRY</x:v>
      </x:c>
      <x:c r="O21" s="301" t="str">
        <x:v>CAD symmetry-derived from LF: identical foot geometry (LF copied)</x:v>
      </x:c>
      <x:c r="P21" s="301" t="str">
        <x:v>lf_foot_link__physprop.txt (Solid Edge 2026-10-30)</x:v>
      </x:c>
      <x:c r="Q21" s="301" t="str">
        <x:v>URDF &lt;inertial&gt; updated 2026-10-31</x:v>
      </x:c>
    </x:row>
    <x:row r="23">
      <x:c r="A23" t="str" s="301">
        <x:v>Nominal model total (17 links) [kg]</x:v>
      </x:c>
      <x:c r="D23" s="303">
        <x:f>SUM(D5:D21)</x:f>
        <x:v>2.928</x:v>
      </x:c>
    </x:row>
    <x:row r="24">
      <x:c r="A24" t="str" s="301">
        <x:v>Solid Edge assembly report [kg]</x:v>
      </x:c>
      <x:c r="D24" s="303">
        <x:f>CAD_Source_Data!D10</x:f>
        <x:v>2.937</x:v>
      </x:c>
    </x:row>
    <x:row r="25">
      <x:c r="A25" t="str" s="301">
        <x:v>Difference model − assembly [kg]</x:v>
      </x:c>
      <x:c r="D25" s="303">
        <x:f>D23-D24</x:f>
        <x:v>-0.008999999999999897</x:v>
      </x:c>
    </x:row>
    <x:row r="26">
      <x:c r="A26" t="str" s="301">
        <x:v>Origin of the difference: per-link masses are reported at 1 g resolution; the 17 link volumes close on the assembly volume within 1.1 mm³, so no solid is missing. Not allocated to any link (see Mass_Reconciliation).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4" hidden="0" customWidth="1"/>
    <x:col min="3" max="3" width="15" hidden="0" customWidth="1"/>
    <x:col min="4" max="4" width="13" hidden="0" customWidth="1"/>
    <x:col min="5" max="5" width="12" hidden="0" customWidth="1"/>
    <x:col min="6" max="6" width="12" hidden="0" customWidth="1"/>
    <x:col min="7" max="7" width="1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1" hidden="0" customWidth="1"/>
    <x:col min="15" max="15" width="11" hidden="0" customWidth="1"/>
    <x:col min="16" max="16" width="11" hidden="0" customWidth="1"/>
    <x:col min="17" max="17" width="22" hidden="0" customWidth="1"/>
    <x:col min="18" max="18" width="56" hidden="0" customWidth="1"/>
  </x:cols>
  <x:sheetData>
    <x:row r="1" ht="24" customHeight="1">
      <x:c r="A1" s="289" t="str">
        <x:v>MATDOG — Dati CAD sorgente per proprietà fisiche (Solid Edge 2026-10-30)</x:v>
      </x:c>
      <x:c r="B1" s="289"/>
      <x:c r="C1" s="289"/>
      <x:c r="D1" s="289"/>
      <x:c r="E1" s="289"/>
      <x:c r="F1" s="289"/>
      <x:c r="G1" s="289"/>
      <x:c r="H1" s="289"/>
      <x:c r="I1" s="289"/>
      <x:c r="J1" s="289"/>
      <x:c r="K1" s="289"/>
      <x:c r="L1" s="289"/>
      <x:c r="M1" s="289"/>
      <x:c r="N1" s="289"/>
      <x:c r="O1" s="289"/>
      <x:c r="P1" s="289"/>
      <x:c r="Q1" s="289"/>
      <x:c r="R1" s="289"/>
    </x:row>
    <x:row r="2" ht="36" customHeight="1">
      <x:c r="A2" s="294" t="str">
        <x:v>Trascrizione strutturata dei report Solid Edge ricevuti il 2026-10-30 (configurazione nominale con Jetson Orin). I report per-link riportano la massa a 0.001 kg; i momenti 'global' sono riferiti all’origine CAD, non al CoM, e sono in kg·dm² come stampati. Gli originali sono in 09_Logs/Validation_Reports/REV01_FIX_Physical_Properties_2026-10-31/input/.</x:v>
      </x:c>
      <x:c r="B2" s="294"/>
      <x:c r="C2" s="294"/>
      <x:c r="D2" s="294"/>
      <x:c r="E2" s="294"/>
      <x:c r="F2" s="294"/>
      <x:c r="G2" s="294"/>
      <x:c r="H2" s="294"/>
      <x:c r="I2" s="294"/>
      <x:c r="J2" s="294"/>
      <x:c r="K2" s="294"/>
      <x:c r="L2" s="294"/>
      <x:c r="M2" s="294"/>
      <x:c r="N2" s="294"/>
      <x:c r="O2" s="294"/>
      <x:c r="P2" s="294"/>
      <x:c r="Q2" s="294"/>
      <x:c r="R2" s="294"/>
    </x:row>
    <x:row r="4">
      <x:c r="A4" s="305" t="str">
        <x:v>Source report</x:v>
      </x:c>
      <x:c r="B4" s="305" t="str">
        <x:v>Scope</x:v>
      </x:c>
      <x:c r="C4" s="305" t="str">
        <x:v>Mass reported
[kg]</x:v>
      </x:c>
      <x:c r="D4" s="305" t="str">
        <x:v>Mass used
[kg]</x:v>
      </x:c>
      <x:c r="E4" s="305" t="str">
        <x:v>CoM X
[mm]</x:v>
      </x:c>
      <x:c r="F4" s="305" t="str">
        <x:v>CoM Y
[mm]</x:v>
      </x:c>
      <x:c r="G4" s="305" t="str">
        <x:v>CoM Z
[mm]</x:v>
      </x:c>
      <x:c r="H4" s="305" t="str">
        <x:v>Ixx global [kg·dm²]</x:v>
      </x:c>
      <x:c r="I4" s="305" t="str">
        <x:v>Iyy global [kg·dm²]</x:v>
      </x:c>
      <x:c r="J4" s="305" t="str">
        <x:v>Izz global [kg·dm²]</x:v>
      </x:c>
      <x:c r="K4" s="305" t="str">
        <x:v>Ixy product [kg·dm²]</x:v>
      </x:c>
      <x:c r="L4" s="305" t="str">
        <x:v>Ixz product [kg·dm²]</x:v>
      </x:c>
      <x:c r="M4" s="305" t="str">
        <x:v>Iyz product [kg·dm²]</x:v>
      </x:c>
      <x:c r="N4" s="305" t="str">
        <x:v>K1
[mm]</x:v>
      </x:c>
      <x:c r="O4" s="305" t="str">
        <x:v>K2
[mm]</x:v>
      </x:c>
      <x:c r="P4" s="305" t="str">
        <x:v>K3
[mm]</x:v>
      </x:c>
      <x:c r="Q4" s="305" t="str">
        <x:v>Use in REV01-FIX</x:v>
      </x:c>
      <x:c r="R4" s="305" t="str">
        <x:v>Notes</x:v>
      </x:c>
    </x:row>
    <x:row r="5">
      <x:c r="A5" s="301" t="str">
        <x:v>base_link__physprop.txt</x:v>
      </x:c>
      <x:c r="B5" s="301" t="str">
        <x:v>base_link</x:v>
      </x:c>
      <x:c r="C5" s="306">
        <x:v>1.828</x:v>
      </x:c>
      <x:c r="D5" s="306">
        <x:f>C5</x:f>
        <x:v>1.828</x:v>
      </x:c>
      <x:c r="E5" s="307">
        <x:v>-6.93</x:v>
      </x:c>
      <x:c r="F5" s="307">
        <x:v>-0.44</x:v>
      </x:c>
      <x:c r="G5" s="307">
        <x:v>36.57</x:v>
      </x:c>
      <x:c r="H5" s="303">
        <x:v>0.433</x:v>
      </x:c>
      <x:c r="I5" s="303">
        <x:v>1.614</x:v>
      </x:c>
      <x:c r="J5" s="303">
        <x:v>1.414</x:v>
      </x:c>
      <x:c r="K5" s="303">
        <x:v>0.002</x:v>
      </x:c>
      <x:c r="L5" s="303">
        <x:v>-0.021</x:v>
      </x:c>
      <x:c r="M5" s="303">
        <x:v>-0.002</x:v>
      </x:c>
      <x:c r="N5" s="307">
        <x:v>87.7</x:v>
      </x:c>
      <x:c r="O5" s="307">
        <x:v>86.28</x:v>
      </x:c>
      <x:c r="P5" s="307">
        <x:v>32.07</x:v>
      </x:c>
      <x:c r="Q5" s="301" t="str">
        <x:v>Direct</x:v>
      </x:c>
      <x:c r="R5" s="301" t="str">
        <x:v>Includes the Jetson Orin (175 g). Mass used = Solid Edge report.</x:v>
      </x:c>
    </x:row>
    <x:row r="6">
      <x:c r="A6" s="301" t="str">
        <x:v>lf_hip_link__physprop.txt</x:v>
      </x:c>
      <x:c r="B6" s="301" t="str">
        <x:v>lf_hip_link</x:v>
      </x:c>
      <x:c r="C6" s="306">
        <x:v>0.05</x:v>
      </x:c>
      <x:c r="D6" s="306">
        <x:f>C6</x:f>
        <x:v>0.05</x:v>
      </x:c>
      <x:c r="E6" s="307">
        <x:v>3.66</x:v>
      </x:c>
      <x:c r="F6" s="307">
        <x:v>29.82</x:v>
      </x:c>
      <x:c r="G6" s="307">
        <x:v>6.94</x:v>
      </x:c>
      <x:c r="H6" s="303">
        <x:v>0.009</x:v>
      </x:c>
      <x:c r="I6" s="303">
        <x:v>0.002</x:v>
      </x:c>
      <x:c r="J6" s="303">
        <x:v>0.009</x:v>
      </x:c>
      <x:c r="K6" s="303">
        <x:v>0.001</x:v>
      </x:c>
      <x:c r="L6" s="303">
        <x:v>0</x:v>
      </x:c>
      <x:c r="M6" s="303">
        <x:v>0.001</x:v>
      </x:c>
      <x:c r="N6" s="307">
        <x:v>30.43</x:v>
      </x:c>
      <x:c r="O6" s="307">
        <x:v>28.35</x:v>
      </x:c>
      <x:c r="P6" s="307">
        <x:v>19.04</x:v>
      </x:c>
      <x:c r="Q6" s="301" t="str">
        <x:v>Direct LF / symmetry seed</x:v>
      </x:c>
      <x:c r="R6" s="301" t="str">
        <x:v>RF = Y reflection of LF; LH = LF frame; RH = Y reflection (rear hip meshes differ slightly from LF: see Physical_Property_Method).</x:v>
      </x:c>
    </x:row>
    <x:row r="7">
      <x:c r="A7" s="301" t="str">
        <x:v>lf_upper_leg_link__physprop.txt</x:v>
      </x:c>
      <x:c r="B7" s="301" t="str">
        <x:v>lf_upper_leg_link</x:v>
      </x:c>
      <x:c r="C7" s="306">
        <x:v>0.152</x:v>
      </x:c>
      <x:c r="D7" s="306">
        <x:f>C7</x:f>
        <x:v>0.152</x:v>
      </x:c>
      <x:c r="E7" s="307">
        <x:v>1.22</x:v>
      </x:c>
      <x:c r="F7" s="307">
        <x:v>0.14</x:v>
      </x:c>
      <x:c r="G7" s="307">
        <x:v>-45.03</x:v>
      </x:c>
      <x:c r="H7" s="303">
        <x:v>0.049</x:v>
      </x:c>
      <x:c r="I7" s="303">
        <x:v>0.048</x:v>
      </x:c>
      <x:c r="J7" s="303">
        <x:v>0.003</x:v>
      </x:c>
      <x:c r="K7" s="303">
        <x:v>0</x:v>
      </x:c>
      <x:c r="L7" s="303">
        <x:v>-0.001</x:v>
      </x:c>
      <x:c r="M7" s="303">
        <x:v>0</x:v>
      </x:c>
      <x:c r="N7" s="307">
        <x:v>34.35</x:v>
      </x:c>
      <x:c r="O7" s="307">
        <x:v>33.8</x:v>
      </x:c>
      <x:c r="P7" s="307">
        <x:v>13.68</x:v>
      </x:c>
      <x:c r="Q7" s="301" t="str">
        <x:v>Direct LF / symmetry seed</x:v>
      </x:c>
      <x:c r="R7" s="301" t="str">
        <x:v>RF and RH are derived by local Y reflection; LH uses the same left-side local geometry (mesh-verified).</x:v>
      </x:c>
    </x:row>
    <x:row r="8">
      <x:c r="A8" s="301" t="str">
        <x:v>lf_lower_leg_link__physprop.txt</x:v>
      </x:c>
      <x:c r="B8" s="301" t="str">
        <x:v>lf_lower_leg_link</x:v>
      </x:c>
      <x:c r="C8" s="306">
        <x:v>0.059</x:v>
      </x:c>
      <x:c r="D8" s="306">
        <x:f>C8</x:f>
        <x:v>0.059</x:v>
      </x:c>
      <x:c r="E8" s="307">
        <x:v>30.75</x:v>
      </x:c>
      <x:c r="F8" s="307">
        <x:v>-1.18</x:v>
      </x:c>
      <x:c r="G8" s="307">
        <x:v>-19.58</x:v>
      </x:c>
      <x:c r="H8" s="303">
        <x:v>0.004</x:v>
      </x:c>
      <x:c r="I8" s="303">
        <x:v>0.018</x:v>
      </x:c>
      <x:c r="J8" s="303">
        <x:v>0.016</x:v>
      </x:c>
      <x:c r="K8" s="303">
        <x:v>0</x:v>
      </x:c>
      <x:c r="L8" s="303">
        <x:v>-0.005</x:v>
      </x:c>
      <x:c r="M8" s="303">
        <x:v>0</x:v>
      </x:c>
      <x:c r="N8" s="307">
        <x:v>42.53</x:v>
      </x:c>
      <x:c r="O8" s="307">
        <x:v>41.51</x:v>
      </x:c>
      <x:c r="P8" s="307">
        <x:v>17.5</x:v>
      </x:c>
      <x:c r="Q8" s="301" t="str">
        <x:v>Direct LF / symmetry seed</x:v>
      </x:c>
      <x:c r="R8" s="301" t="str">
        <x:v>RF and RH are derived by local Y reflection; LH uses the same left-side local geometry (mesh-verified).</x:v>
      </x:c>
    </x:row>
    <x:row r="9">
      <x:c r="A9" s="301" t="str">
        <x:v>lf_foot_link__physprop.txt</x:v>
      </x:c>
      <x:c r="B9" s="301" t="str">
        <x:v>lf_foot_link</x:v>
      </x:c>
      <x:c r="C9" s="306">
        <x:v>0.014</x:v>
      </x:c>
      <x:c r="D9" s="306">
        <x:f>C9</x:f>
        <x:v>0.014</x:v>
      </x:c>
      <x:c r="E9" s="307">
        <x:v>-0.74</x:v>
      </x:c>
      <x:c r="F9" s="307">
        <x:v>0</x:v>
      </x:c>
      <x:c r="G9" s="307">
        <x:v>15.72</x:v>
      </x:c>
      <x:c r="H9" s="303">
        <x:v>0</x:v>
      </x:c>
      <x:c r="I9" s="303">
        <x:v>0</x:v>
      </x:c>
      <x:c r="J9" s="303">
        <x:v>0</x:v>
      </x:c>
      <x:c r="K9" s="303">
        <x:v>0</x:v>
      </x:c>
      <x:c r="L9" s="303">
        <x:v>0</x:v>
      </x:c>
      <x:c r="M9" s="303">
        <x:v>0</x:v>
      </x:c>
      <x:c r="N9" s="307">
        <x:v>8.01</x:v>
      </x:c>
      <x:c r="O9" s="307">
        <x:v>7.96</x:v>
      </x:c>
      <x:c r="P9" s="307">
        <x:v>7.76</x:v>
      </x:c>
      <x:c r="Q9" s="301" t="str">
        <x:v>Direct LF / identical foot seed</x:v>
      </x:c>
      <x:c r="R9" s="301" t="str">
        <x:v>All four foot links use the identical CAD foot geometry. Global moments print as 0.000 because of rounding (&lt; 5e-6 kg·m²), not because the inertia is zero.</x:v>
      </x:c>
    </x:row>
    <x:row r="10">
      <x:c r="A10" s="301" t="str">
        <x:v>matdog_urdf_assembly__physprop.txt</x:v>
      </x:c>
      <x:c r="B10" s="301" t="str">
        <x:v>17-link assembly (frame Base; moments about the CoM, kg·m² printed, converted to kg·dm² here)</x:v>
      </x:c>
      <x:c r="C10" s="306">
        <x:v>2.937</x:v>
      </x:c>
      <x:c r="D10" s="306">
        <x:f>C10</x:f>
        <x:v>2.937</x:v>
      </x:c>
      <x:c r="E10" s="307">
        <x:v>0.78</x:v>
      </x:c>
      <x:c r="F10" s="307">
        <x:v>-0.59</x:v>
      </x:c>
      <x:c r="G10" s="307">
        <x:v>17.02</x:v>
      </x:c>
      <x:c r="H10" s="303">
        <x:v>1.7</x:v>
      </x:c>
      <x:c r="I10" s="303">
        <x:v>3.4</x:v>
      </x:c>
      <x:c r="J10" s="303">
        <x:v>3.9</x:v>
      </x:c>
      <x:c r="K10" s="303">
        <x:v>0</x:v>
      </x:c>
      <x:c r="L10" s="303">
        <x:v>0</x:v>
      </x:c>
      <x:c r="M10" s="303">
        <x:v>0</x:v>
      </x:c>
      <x:c r="N10" s="307">
        <x:v>115.56</x:v>
      </x:c>
      <x:c r="O10" s="307">
        <x:v>106.96</x:v>
      </x:c>
      <x:c r="P10" s="307">
        <x:v>73.98</x:v>
      </x:c>
      <x:c r="Q10" s="301" t="str">
        <x:v>Aggregate validation</x:v>
      </x:c>
      <x:c r="R10" s="301" t="str">
        <x:v>Includes the Jetson Orin. Rebuilt 17-link model: 2.928 kg, CoM deviation 0.42 mm, K within 0.2 %. Volume: assembly 1970535.851 mm³ vs sum of link volumes 1970534.788 mm³.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3" hidden="0" customWidth="1"/>
    <x:col min="3" max="3" width="20" hidden="0" customWidth="1"/>
    <x:col min="4" max="4" width="17" hidden="0" customWidth="1"/>
    <x:col min="5" max="5" width="26" hidden="0" customWidth="1"/>
    <x:col min="6" max="6" width="25" hidden="0" customWidth="1"/>
    <x:col min="7" max="7" width="22" hidden="0" customWidth="1"/>
    <x:col min="8" max="8" width="36" hidden="0" customWidth="1"/>
  </x:cols>
  <x:sheetData>
    <x:row r="1" ht="24" customHeight="1">
      <x:c r="A1" s="289" t="str">
        <x:v>MATDOG — Riconciliazione masse REV01-FIX</x:v>
      </x:c>
      <x:c r="B1" s="289"/>
      <x:c r="C1" s="289"/>
      <x:c r="D1" s="289"/>
      <x:c r="E1" s="289"/>
      <x:c r="F1" s="289"/>
      <x:c r="G1" s="289"/>
      <x:c r="H1" s="289"/>
    </x:row>
    <x:row r="2" ht="36" customHeight="1">
      <x:c r="A2" s="294" t="str">
        <x:v>Il modello dinamico usa le masse per-link dei report Solid Edge 2026-10-30 (1 g di risoluzione); non è stata applicata alcuna scala. Il calcolo pesi e la pesata reale (senza Jetson) sono conservati come controlli di configurazione, non come scala automatica del tensore d’inerzia.</x:v>
      </x:c>
      <x:c r="B2" s="294"/>
      <x:c r="C2" s="294"/>
      <x:c r="D2" s="294"/>
      <x:c r="E2" s="294"/>
      <x:c r="F2" s="294"/>
      <x:c r="G2" s="294"/>
      <x:c r="H2" s="294"/>
    </x:row>
    <x:row r="4">
      <x:c r="A4" s="300" t="str">
        <x:v>Metric</x:v>
      </x:c>
      <x:c r="B4" s="300" t="str">
        <x:v>Value</x:v>
      </x:c>
    </x:row>
    <x:row r="5">
      <x:c r="A5" s="301" t="str">
        <x:v>URDF dynamic model — CAD mass [kg]</x:v>
      </x:c>
      <x:c r="B5" s="306">
        <x:f>Inertial_Properties!D23</x:f>
        <x:v>2.928</x:v>
      </x:c>
    </x:row>
    <x:row r="6">
      <x:c r="A6" s="301" t="str">
        <x:v>CAD full assembly report [kg]</x:v>
      </x:c>
      <x:c r="B6" s="306">
        <x:f>CAD_Source_Data!D10</x:f>
        <x:v>2.937</x:v>
      </x:c>
    </x:row>
    <x:row r="7">
      <x:c r="A7" s="301" t="str">
        <x:v>Difference model vs full CAD [kg]</x:v>
      </x:c>
      <x:c r="B7" s="306">
        <x:f>B5-B6</x:f>
        <x:v>-0.008999999999999897</x:v>
      </x:c>
    </x:row>
    <x:row r="8">
      <x:c r="A8" s="301" t="str">
        <x:v>Weight-breakdown calculated, WITH Jetson [kg]</x:v>
      </x:c>
      <x:c r="B8" s="306">
        <x:f>('Weight_Evidence_2026-10-30'!J11+'Weight_Evidence_2026-10-30'!F16)/1000</x:f>
        <x:v>2.9432</x:v>
      </x:c>
    </x:row>
    <x:row r="9">
      <x:c r="A9" s="301" t="str">
        <x:v>Physical robot measured 2026-10-30, WITHOUT Jetson [kg]</x:v>
      </x:c>
      <x:c r="B9" s="306">
        <x:f>'Weight_Evidence_2026-10-30'!J2/1000</x:f>
        <x:v>2.807</x:v>
      </x:c>
    </x:row>
    <x:row r="10">
      <x:c r="A10" s="301" t="str">
        <x:v>CAD assembly without Jetson − measured robot [kg]</x:v>
      </x:c>
      <x:c r="B10" s="306">
        <x:f>(B6-B12)-B9</x:f>
        <x:v>-0.04499999999999993</x:v>
      </x:c>
    </x:row>
    <x:row r="11">
      <x:c r="A11" s="301" t="str">
        <x:v>(CAD assembly without Jetson − measured robot) / CAD without Jetson</x:v>
      </x:c>
      <x:c r="B11" s="308">
        <x:f>B10/(B6-B12)</x:f>
        <x:v>-0.016292541636495267</x:v>
      </x:c>
    </x:row>
    <x:row r="12">
      <x:c r="A12" s="301" t="str">
        <x:v>Jetson Orin, inside the base_link CAD [kg]</x:v>
      </x:c>
      <x:c r="B12" s="306">
        <x:f>'Weight_Evidence_2026-10-30'!F16/1000</x:f>
        <x:v>0.175</x:v>
      </x:c>
    </x:row>
    <x:row r="13">
      <x:c r="A13" s="310" t="str">
        <x:v>5th motor housing / neck yaw</x:v>
      </x:c>
      <x:c r="B13" s="310" t="str">
        <x:v>Not separately modeled. The weight workbook counts 5 motor housings in the base group; whether the Solid Edge base_link mass includes the fifth is NOT stated by the evidence (UNKNOWN).</x:v>
      </x:c>
    </x:row>
    <x:row r="14">
      <x:c r="A14" t="str" s="301">
        <x:v>Weight workbook: measured − analytic without Jetson [kg]</x:v>
      </x:c>
      <x:c r="B14" s="306">
        <x:f>'Weight_Evidence_2026-10-30'!J13/1000</x:f>
        <x:v>0.03880000000000018</x:v>
      </x:c>
    </x:row>
    <x:row r="16">
      <x:c r="A16" s="300" t="str">
        <x:v>Link family</x:v>
      </x:c>
      <x:c r="B16" s="300" t="str">
        <x:v>Quantity</x:v>
      </x:c>
      <x:c r="C16" s="300" t="str">
        <x:v>CAD mass / unit [kg]</x:v>
      </x:c>
      <x:c r="D16" s="300" t="str">
        <x:v>CAD group [kg]</x:v>
      </x:c>
      <x:c r="E16" s="300" t="str">
        <x:v>Weight breakdown / unit [kg]</x:v>
      </x:c>
      <x:c r="F16" s="300" t="str">
        <x:v>Weight breakdown group [kg]</x:v>
      </x:c>
      <x:c r="G16" s="300" t="str">
        <x:v>CAD − breakdown [kg]</x:v>
      </x:c>
      <x:c r="H16" s="300" t="str">
        <x:v>Status</x:v>
      </x:c>
    </x:row>
    <x:row r="17">
      <x:c r="A17" s="301" t="str">
        <x:v>base_link</x:v>
      </x:c>
      <x:c r="B17" s="301" t="n">
        <x:v>1</x:v>
      </x:c>
      <x:c r="C17" s="306">
        <x:f>Inertial_Properties!D5</x:f>
        <x:v>1.828</x:v>
      </x:c>
      <x:c r="D17" s="306">
        <x:f>B17*C17</x:f>
        <x:v>1.828</x:v>
      </x:c>
      <x:c r="E17" s="306">
        <x:f>('Weight_Evidence_2026-10-30'!F33+'Weight_Evidence_2026-10-30'!M6+'Weight_Evidence_2026-10-30'!M7)/1000</x:f>
        <x:v>1.8416</x:v>
      </x:c>
      <x:c r="F17" s="306">
        <x:f>B17*E17</x:f>
        <x:v>1.8416</x:v>
      </x:c>
      <x:c r="G17" s="306">
        <x:f>D17-F17</x:f>
        <x:v>-0.013599999999999834</x:v>
      </x:c>
      <x:c r="H17" s="301" t="str">
        <x:v>CAD direct (Solid Edge 2026-10-30)</x:v>
      </x:c>
    </x:row>
    <x:row r="18">
      <x:c r="A18" s="301" t="str">
        <x:v>hip_link</x:v>
      </x:c>
      <x:c r="B18" s="301" t="n">
        <x:v>4</x:v>
      </x:c>
      <x:c r="C18" s="306">
        <x:f>Inertial_Properties!D6</x:f>
        <x:v>0.05</x:v>
      </x:c>
      <x:c r="D18" s="306" t="n">
        <x:f>B18*C18</x:f>
        <x:v>0.2</x:v>
      </x:c>
      <x:c r="E18" s="306">
        <x:f>'Weight_Evidence_2026-10-30'!F41/1000</x:f>
        <x:v>0.0501</x:v>
      </x:c>
      <x:c r="F18" s="306">
        <x:f>B18*E18</x:f>
        <x:v>0.2004</x:v>
      </x:c>
      <x:c r="G18" s="306">
        <x:f>D18-F18</x:f>
        <x:v>-0.0003999999999999837</x:v>
      </x:c>
      <x:c r="H18" s="301" t="str">
        <x:v>CAD direct / link CAD report</x:v>
      </x:c>
    </x:row>
    <x:row r="19">
      <x:c r="A19" s="301" t="str">
        <x:v>upper_leg_link</x:v>
      </x:c>
      <x:c r="B19" s="301" t="n">
        <x:v>4</x:v>
      </x:c>
      <x:c r="C19" s="306">
        <x:f>Inertial_Properties!D7</x:f>
        <x:v>0.152</x:v>
      </x:c>
      <x:c r="D19" s="306">
        <x:f>B19*C19</x:f>
        <x:v>0.608</x:v>
      </x:c>
      <x:c r="E19" s="306">
        <x:f>'Weight_Evidence_2026-10-30'!F49/1000</x:f>
        <x:v>0.152</x:v>
      </x:c>
      <x:c r="F19" s="306">
        <x:f>B19*E19</x:f>
        <x:v>0.608</x:v>
      </x:c>
      <x:c r="G19" s="306">
        <x:f>D19-F19</x:f>
        <x:v>0</x:v>
      </x:c>
      <x:c r="H19" s="301" t="str">
        <x:v>CAD direct / link CAD report</x:v>
      </x:c>
    </x:row>
    <x:row r="20">
      <x:c r="A20" s="301" t="str">
        <x:v>lower_leg_link</x:v>
      </x:c>
      <x:c r="B20" s="301" t="n">
        <x:v>4</x:v>
      </x:c>
      <x:c r="C20" s="306">
        <x:f>Inertial_Properties!D8</x:f>
        <x:v>0.059</x:v>
      </x:c>
      <x:c r="D20" s="306">
        <x:f>B20*C20</x:f>
        <x:v>0.236</x:v>
      </x:c>
      <x:c r="E20" s="306">
        <x:f>'Weight_Evidence_2026-10-30'!F57/1000</x:f>
        <x:v>0.0593</x:v>
      </x:c>
      <x:c r="F20" s="306">
        <x:f>B20*E20</x:f>
        <x:v>0.2372</x:v>
      </x:c>
      <x:c r="G20" s="306">
        <x:f>D20-F20</x:f>
        <x:v>-0.0012000000000000066</x:v>
      </x:c>
      <x:c r="H20" s="301" t="str">
        <x:v>CAD direct / link CAD report</x:v>
      </x:c>
    </x:row>
    <x:row r="21">
      <x:c r="A21" s="301" t="str">
        <x:v>foot_link</x:v>
      </x:c>
      <x:c r="B21" s="301" t="n">
        <x:v>4</x:v>
      </x:c>
      <x:c r="C21" s="306">
        <x:f>Inertial_Properties!D9</x:f>
        <x:v>0.014</x:v>
      </x:c>
      <x:c r="D21" s="306">
        <x:f>B21*C21</x:f>
        <x:v>0.056</x:v>
      </x:c>
      <x:c r="E21" s="306">
        <x:f>'Weight_Evidence_2026-10-30'!F64/1000</x:f>
        <x:v>0.014</x:v>
      </x:c>
      <x:c r="F21" s="306">
        <x:f>B21*E21</x:f>
        <x:v>0.056</x:v>
      </x:c>
      <x:c r="G21" s="306">
        <x:f>D21-F21</x:f>
        <x:v>0</x:v>
      </x:c>
      <x:c r="H21" s="301" t="str">
        <x:v>CAD direct / link CAD report</x:v>
      </x:c>
    </x:row>
    <x:row r="22">
      <x:c r="A22" s="317" t="str">
        <x:v>TOTAL</x:v>
      </x:c>
      <x:c r="B22" s="317"/>
      <x:c r="C22" s="318"/>
      <x:c r="D22" s="318">
        <x:f>SUM(D17:D21)</x:f>
        <x:v>2.928</x:v>
      </x:c>
      <x:c r="E22" s="318"/>
      <x:c r="F22" s="318">
        <x:f>SUM(F17:F21)</x:f>
        <x:v>2.9432</x:v>
      </x:c>
      <x:c r="G22" s="318">
        <x:f>D22-F22</x:f>
        <x:v>-0.015200000000000102</x:v>
      </x:c>
      <x:c r="H22" s="317" t="str">
        <x:v>Residual 9 g vs assembly</x:v>
      </x:c>
    </x:row>
    <x:row r="24">
      <x:c r="A24" s="322" t="str">
        <x:v>Interpretation: the 17 per-link masses sum to 2.928 kg; the Solid Edge assembly reports 2.937 kg. The 9 g residual is NOT missing geometry (the 17 link volumes close on the assembly volume within 1.1 mm³). It lies at the 1 g resolution of the mass reports: rounding of the 5 distinct reported masses explains at most ±8.5 g if the four legs are identical, so 9 g exceeds that bound by 0.5 g — either truncation instead of rounding, or legs not exactly identical in mass; it cannot be resolved without per-link reports of RF/RH/LH or unrounded values. No mass is added or scaled. The measured robot (2.807 kg, no Jetson) is 45 g above the CAD assembly without Jetson (2.762 kg); the weight workbook attributes 38.8 g to unmodeled wiring, which is a hypothesis.</x:v>
      </x:c>
      <x:c r="B24" s="322"/>
      <x:c r="C24" s="322"/>
      <x:c r="D24" s="322"/>
      <x:c r="E24" s="322"/>
      <x:c r="F24" s="322"/>
      <x:c r="G24" s="322"/>
      <x:c r="H24" s="322"/>
    </x:row>
    <x:row r="25">
      <x:c r="A25" s="322"/>
      <x:c r="B25" s="322"/>
      <x:c r="C25" s="322"/>
      <x:c r="D25" s="322"/>
      <x:c r="E25" s="322"/>
      <x:c r="F25" s="322"/>
      <x:c r="G25" s="322"/>
      <x:c r="H25" s="322"/>
    </x:row>
  </x:sheetData>
  <x:mergeCells>
    <x:mergeCell ref="A1:H1"/>
    <x:mergeCell ref="A2:H2"/>
    <x:mergeCell ref="A24:H25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 ht="24" customHeight="1">
      <x:c r="A1" s="289" t="str">
        <x:v>MATDOG — Metodo di conversione CAD → URDF &lt;inertial&gt; (REV01-FIX)</x:v>
      </x:c>
      <x:c r="B1" s="289"/>
      <x:c r="C1" s="289"/>
    </x:row>
    <x:row r="2" ht="36" customHeight="1">
      <x:c r="A2" s="294" t="str">
        <x:v>Questa pagina descrive il metodo ripetibile usato per trasformare i report Solid Edge nei campi standard URDF, senza introdurre inerzie fittizie.</x:v>
      </x:c>
      <x:c r="B2" s="294"/>
      <x:c r="C2" s="294"/>
    </x:row>
    <x:row r="4">
      <x:c r="A4" s="300" t="str">
        <x:v>Step</x:v>
      </x:c>
      <x:c r="B4" s="300" t="str">
        <x:v>Engineering decision</x:v>
      </x:c>
    </x:row>
    <x:row r="5">
      <x:c r="A5" s="317" t="str">
        <x:v>1. Data scope</x:v>
      </x:c>
      <x:c r="B5" s="301" t="str">
        <x:v>1. Data scope — Base link and LF subassemblies were exported from Solid Edge on 2026-10-30 in the single nominal configuration that includes the Jetson Orin. Each report prints the CoM, principal-axis directions and radii of gyration. Moments 'rispetto agli assi globali' are about the CAD origin, NOT the CoM: they are used only as a cross-check. The full assembly report is an aggregate validation.</x:v>
      </x:c>
    </x:row>
    <x:row r="6">
      <x:c r="A6" s="317" t="str">
        <x:v>2. Mass source</x:v>
      </x:c>
      <x:c r="B6" s="301" t="str">
        <x:v>2. Mass source — URDF masses are the Solid Edge per-link values (1 g resolution): base 1.828 kg, hip 0.050 kg, upper 0.152 kg, lower 0.059 kg and foot 0.014 kg; 17 links = 2.928 kg. The assembly reports 2.937 kg; the 9 g residual is documented in Mass_Reconciliation and not forced.</x:v>
      </x:c>
    </x:row>
    <x:row r="7">
      <x:c r="A7" s="317" t="str">
        <x:v>3. CoM source</x:v>
      </x:c>
      <x:c r="B7" s="301" t="str">
        <x:v>3. CoM source — The CoM of each report (mm) is converted to metres and used as &lt;inertial&gt;&lt;origin xyz=...&gt; in the link frame (the report frame equals the URDF link frame, verified against the REV00 hip CoM).</x:v>
      </x:c>
    </x:row>
    <x:row r="8">
      <x:c r="A8" s="317" t="str">
        <x:v>4. Inertia construction</x:v>
      </x:c>
      <x:c r="B8" s="301" t="str">
        <x:v>4. Inertia construction — The tensor at the CoM is rebuilt from principal axes and radii of gyration: I_C = Rᵀ diag(m·K₁², m·K₂², m·K₃²) R (units mm, kg·dm² converted to m, kg·m²). Check: the rebuilt tensors moved to the CAD origin reproduce the printed moments within the report rounding (diagonal error ≤ 4.4e-6 kg·m², i.e. below the 5e-6 rounding of 0.0005 kg·dm²). A printed '0.000' (foot) is a rounded small value, not zero inertia.</x:v>
      </x:c>
    </x:row>
    <x:row r="9">
      <x:c r="A9" s="317" t="str">
        <x:v>5. Axis cleanup</x:v>
      </x:c>
      <x:c r="B9" s="301" t="str">
        <x:v>5. Axis cleanup — The printed principal-axis matrices (3 decimals) are orthonormalised to the nearest rotation by SVD before the reconstruction (orthogonality error ≤ 9e-4 before cleanup).</x:v>
      </x:c>
    </x:row>
    <x:row r="10">
      <x:c r="A10" s="317" t="str">
        <x:v>6. Right-side derivation</x:v>
      </x:c>
      <x:c r="B10" s="301" t="str">
        <x:v>6. Right-side derivation — RF = local Y reflection of LF: M = diag(1,−1,1); CoM' = M·CoM, I' = M·I·Mᵀ. Verified on the collision meshes: RF vs reflected LF differs by ≤ 0.0002 mm in CoM and ≤ 8e-6 relative in inertia for hip, upper and lower leg.</x:v>
      </x:c>
    </x:row>
    <x:row r="11">
      <x:c r="A11" s="317" t="str">
        <x:v>7. Rear / foot derivation</x:v>
      </x:c>
      <x:c r="B11" s="301" t="str">
        <x:v>7. Rear / foot derivation — LH uses the LF frame (upper, lower and foot meshes identical to numerical precision); RH = Y reflection (upper, lower exact). The rear HIP collision meshes differ slightly from the front ones (volume −0.35 %, CoM 0.21 mm, inertia 0.8 % on the mesh estimate): rear hips inherit the LF CAD properties, an uncertainty below the 1 g mass resolution (2 %). Feet are identical.</x:v>
      </x:c>
    </x:row>
    <x:row r="12">
      <x:c r="A12" s="317" t="str">
        <x:v>8. Aggregate validation</x:v>
      </x:c>
      <x:c r="B12" s="301" t="str">
        <x:v>8. Aggregate validation — Rebuilt 17-link model: 2.928 kg, CoM = [0.688, −0.275, 17.286] mm, K = [115.39, 106.76, 73.74] mm. Solid Edge assembly (frame Base): 2.937 kg, CoM = [0.78, −0.59, 17.02] mm, K = [115.56, 106.96, 73.98] mm. CoM deviation 0.42 mm; principal moments within 1 %.</x:v>
      </x:c>
    </x:row>
    <x:row r="13">
      <x:c r="A13" s="317" t="str">
        <x:v>9. Product-of-inertia convention</x:v>
      </x:c>
      <x:c r="B13" s="301" t="str">
        <x:v>9. Product-of-inertia convention — The printed products are ∫xy dm etc.; the URDF tensor off-diagonals are their negatives. Verified on the base_link (printed Ixz −0.021 kg·dm² ⇔ tensor +2.07e-4 kg·m²).</x:v>
      </x:c>
    </x:row>
    <x:row r="14">
      <x:c r="A14" s="317" t="str">
        <x:v>10. Neck yaw actuator</x:v>
      </x:c>
      <x:c r="B14" s="301" t="str">
        <x:v>10. Neck yaw actuator — No new evidence in the 2026-10-30 package; nothing is added. Whether the base_link CAD includes a fifth motor housing is not stated.</x:v>
      </x:c>
    </x:row>
    <x:row r="15">
      <x:c r="A15" s="317" t="str">
        <x:v>11. Simulation scope</x:v>
      </x:c>
      <x:c r="B15" s="301" t="str">
        <x:v>11. Simulation scope — A single nominal configuration, including the Jetson Orin. The robot weighed on 2026-10-30 (2.807 kg, without Jetson) is historical evidence of the hardware assembled at that date, not a second configuration. No dynamic hardware validation has been performed on these properties.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11D8-8308-4658-B391-A90E45E29188}">
  <dimension ref="A1:N71"/>
  <sheetViews>
    <sheetView tabSelected="1" workbookViewId="0">
      <selection activeCell="M16" sqref="M16"/>
    </sheetView>
  </sheetViews>
  <sheetFormatPr defaultRowHeight="13.2" x14ac:dyDescent="0.25"/>
  <cols>
    <col min="1" max="1" width="13.5546875" bestFit="1" customWidth="1"/>
    <col min="2" max="2" width="32" bestFit="1" customWidth="1"/>
    <col min="9" max="9" width="13.109375" bestFit="1" customWidth="1"/>
    <col min="257" max="257" width="13.5546875" bestFit="1" customWidth="1"/>
    <col min="258" max="258" width="32" bestFit="1" customWidth="1"/>
    <col min="265" max="265" width="13.109375" bestFit="1" customWidth="1"/>
    <col min="513" max="513" width="13.5546875" bestFit="1" customWidth="1"/>
    <col min="514" max="514" width="32" bestFit="1" customWidth="1"/>
    <col min="521" max="521" width="13.109375" bestFit="1" customWidth="1"/>
    <col min="769" max="769" width="13.5546875" bestFit="1" customWidth="1"/>
    <col min="770" max="770" width="32" bestFit="1" customWidth="1"/>
    <col min="777" max="777" width="13.109375" bestFit="1" customWidth="1"/>
    <col min="1025" max="1025" width="13.5546875" bestFit="1" customWidth="1"/>
    <col min="1026" max="1026" width="32" bestFit="1" customWidth="1"/>
    <col min="1033" max="1033" width="13.109375" bestFit="1" customWidth="1"/>
    <col min="1281" max="1281" width="13.5546875" bestFit="1" customWidth="1"/>
    <col min="1282" max="1282" width="32" bestFit="1" customWidth="1"/>
    <col min="1289" max="1289" width="13.109375" bestFit="1" customWidth="1"/>
    <col min="1537" max="1537" width="13.5546875" bestFit="1" customWidth="1"/>
    <col min="1538" max="1538" width="32" bestFit="1" customWidth="1"/>
    <col min="1545" max="1545" width="13.109375" bestFit="1" customWidth="1"/>
    <col min="1793" max="1793" width="13.5546875" bestFit="1" customWidth="1"/>
    <col min="1794" max="1794" width="32" bestFit="1" customWidth="1"/>
    <col min="1801" max="1801" width="13.109375" bestFit="1" customWidth="1"/>
    <col min="2049" max="2049" width="13.5546875" bestFit="1" customWidth="1"/>
    <col min="2050" max="2050" width="32" bestFit="1" customWidth="1"/>
    <col min="2057" max="2057" width="13.109375" bestFit="1" customWidth="1"/>
    <col min="2305" max="2305" width="13.5546875" bestFit="1" customWidth="1"/>
    <col min="2306" max="2306" width="32" bestFit="1" customWidth="1"/>
    <col min="2313" max="2313" width="13.109375" bestFit="1" customWidth="1"/>
    <col min="2561" max="2561" width="13.5546875" bestFit="1" customWidth="1"/>
    <col min="2562" max="2562" width="32" bestFit="1" customWidth="1"/>
    <col min="2569" max="2569" width="13.109375" bestFit="1" customWidth="1"/>
    <col min="2817" max="2817" width="13.5546875" bestFit="1" customWidth="1"/>
    <col min="2818" max="2818" width="32" bestFit="1" customWidth="1"/>
    <col min="2825" max="2825" width="13.109375" bestFit="1" customWidth="1"/>
    <col min="3073" max="3073" width="13.5546875" bestFit="1" customWidth="1"/>
    <col min="3074" max="3074" width="32" bestFit="1" customWidth="1"/>
    <col min="3081" max="3081" width="13.109375" bestFit="1" customWidth="1"/>
    <col min="3329" max="3329" width="13.5546875" bestFit="1" customWidth="1"/>
    <col min="3330" max="3330" width="32" bestFit="1" customWidth="1"/>
    <col min="3337" max="3337" width="13.109375" bestFit="1" customWidth="1"/>
    <col min="3585" max="3585" width="13.5546875" bestFit="1" customWidth="1"/>
    <col min="3586" max="3586" width="32" bestFit="1" customWidth="1"/>
    <col min="3593" max="3593" width="13.109375" bestFit="1" customWidth="1"/>
    <col min="3841" max="3841" width="13.5546875" bestFit="1" customWidth="1"/>
    <col min="3842" max="3842" width="32" bestFit="1" customWidth="1"/>
    <col min="3849" max="3849" width="13.109375" bestFit="1" customWidth="1"/>
    <col min="4097" max="4097" width="13.5546875" bestFit="1" customWidth="1"/>
    <col min="4098" max="4098" width="32" bestFit="1" customWidth="1"/>
    <col min="4105" max="4105" width="13.109375" bestFit="1" customWidth="1"/>
    <col min="4353" max="4353" width="13.5546875" bestFit="1" customWidth="1"/>
    <col min="4354" max="4354" width="32" bestFit="1" customWidth="1"/>
    <col min="4361" max="4361" width="13.109375" bestFit="1" customWidth="1"/>
    <col min="4609" max="4609" width="13.5546875" bestFit="1" customWidth="1"/>
    <col min="4610" max="4610" width="32" bestFit="1" customWidth="1"/>
    <col min="4617" max="4617" width="13.109375" bestFit="1" customWidth="1"/>
    <col min="4865" max="4865" width="13.5546875" bestFit="1" customWidth="1"/>
    <col min="4866" max="4866" width="32" bestFit="1" customWidth="1"/>
    <col min="4873" max="4873" width="13.109375" bestFit="1" customWidth="1"/>
    <col min="5121" max="5121" width="13.5546875" bestFit="1" customWidth="1"/>
    <col min="5122" max="5122" width="32" bestFit="1" customWidth="1"/>
    <col min="5129" max="5129" width="13.109375" bestFit="1" customWidth="1"/>
    <col min="5377" max="5377" width="13.5546875" bestFit="1" customWidth="1"/>
    <col min="5378" max="5378" width="32" bestFit="1" customWidth="1"/>
    <col min="5385" max="5385" width="13.109375" bestFit="1" customWidth="1"/>
    <col min="5633" max="5633" width="13.5546875" bestFit="1" customWidth="1"/>
    <col min="5634" max="5634" width="32" bestFit="1" customWidth="1"/>
    <col min="5641" max="5641" width="13.109375" bestFit="1" customWidth="1"/>
    <col min="5889" max="5889" width="13.5546875" bestFit="1" customWidth="1"/>
    <col min="5890" max="5890" width="32" bestFit="1" customWidth="1"/>
    <col min="5897" max="5897" width="13.109375" bestFit="1" customWidth="1"/>
    <col min="6145" max="6145" width="13.5546875" bestFit="1" customWidth="1"/>
    <col min="6146" max="6146" width="32" bestFit="1" customWidth="1"/>
    <col min="6153" max="6153" width="13.109375" bestFit="1" customWidth="1"/>
    <col min="6401" max="6401" width="13.5546875" bestFit="1" customWidth="1"/>
    <col min="6402" max="6402" width="32" bestFit="1" customWidth="1"/>
    <col min="6409" max="6409" width="13.109375" bestFit="1" customWidth="1"/>
    <col min="6657" max="6657" width="13.5546875" bestFit="1" customWidth="1"/>
    <col min="6658" max="6658" width="32" bestFit="1" customWidth="1"/>
    <col min="6665" max="6665" width="13.109375" bestFit="1" customWidth="1"/>
    <col min="6913" max="6913" width="13.5546875" bestFit="1" customWidth="1"/>
    <col min="6914" max="6914" width="32" bestFit="1" customWidth="1"/>
    <col min="6921" max="6921" width="13.109375" bestFit="1" customWidth="1"/>
    <col min="7169" max="7169" width="13.5546875" bestFit="1" customWidth="1"/>
    <col min="7170" max="7170" width="32" bestFit="1" customWidth="1"/>
    <col min="7177" max="7177" width="13.109375" bestFit="1" customWidth="1"/>
    <col min="7425" max="7425" width="13.5546875" bestFit="1" customWidth="1"/>
    <col min="7426" max="7426" width="32" bestFit="1" customWidth="1"/>
    <col min="7433" max="7433" width="13.109375" bestFit="1" customWidth="1"/>
    <col min="7681" max="7681" width="13.5546875" bestFit="1" customWidth="1"/>
    <col min="7682" max="7682" width="32" bestFit="1" customWidth="1"/>
    <col min="7689" max="7689" width="13.109375" bestFit="1" customWidth="1"/>
    <col min="7937" max="7937" width="13.5546875" bestFit="1" customWidth="1"/>
    <col min="7938" max="7938" width="32" bestFit="1" customWidth="1"/>
    <col min="7945" max="7945" width="13.109375" bestFit="1" customWidth="1"/>
    <col min="8193" max="8193" width="13.5546875" bestFit="1" customWidth="1"/>
    <col min="8194" max="8194" width="32" bestFit="1" customWidth="1"/>
    <col min="8201" max="8201" width="13.109375" bestFit="1" customWidth="1"/>
    <col min="8449" max="8449" width="13.5546875" bestFit="1" customWidth="1"/>
    <col min="8450" max="8450" width="32" bestFit="1" customWidth="1"/>
    <col min="8457" max="8457" width="13.109375" bestFit="1" customWidth="1"/>
    <col min="8705" max="8705" width="13.5546875" bestFit="1" customWidth="1"/>
    <col min="8706" max="8706" width="32" bestFit="1" customWidth="1"/>
    <col min="8713" max="8713" width="13.109375" bestFit="1" customWidth="1"/>
    <col min="8961" max="8961" width="13.5546875" bestFit="1" customWidth="1"/>
    <col min="8962" max="8962" width="32" bestFit="1" customWidth="1"/>
    <col min="8969" max="8969" width="13.109375" bestFit="1" customWidth="1"/>
    <col min="9217" max="9217" width="13.5546875" bestFit="1" customWidth="1"/>
    <col min="9218" max="9218" width="32" bestFit="1" customWidth="1"/>
    <col min="9225" max="9225" width="13.109375" bestFit="1" customWidth="1"/>
    <col min="9473" max="9473" width="13.5546875" bestFit="1" customWidth="1"/>
    <col min="9474" max="9474" width="32" bestFit="1" customWidth="1"/>
    <col min="9481" max="9481" width="13.109375" bestFit="1" customWidth="1"/>
    <col min="9729" max="9729" width="13.5546875" bestFit="1" customWidth="1"/>
    <col min="9730" max="9730" width="32" bestFit="1" customWidth="1"/>
    <col min="9737" max="9737" width="13.109375" bestFit="1" customWidth="1"/>
    <col min="9985" max="9985" width="13.5546875" bestFit="1" customWidth="1"/>
    <col min="9986" max="9986" width="32" bestFit="1" customWidth="1"/>
    <col min="9993" max="9993" width="13.109375" bestFit="1" customWidth="1"/>
    <col min="10241" max="10241" width="13.5546875" bestFit="1" customWidth="1"/>
    <col min="10242" max="10242" width="32" bestFit="1" customWidth="1"/>
    <col min="10249" max="10249" width="13.109375" bestFit="1" customWidth="1"/>
    <col min="10497" max="10497" width="13.5546875" bestFit="1" customWidth="1"/>
    <col min="10498" max="10498" width="32" bestFit="1" customWidth="1"/>
    <col min="10505" max="10505" width="13.109375" bestFit="1" customWidth="1"/>
    <col min="10753" max="10753" width="13.5546875" bestFit="1" customWidth="1"/>
    <col min="10754" max="10754" width="32" bestFit="1" customWidth="1"/>
    <col min="10761" max="10761" width="13.109375" bestFit="1" customWidth="1"/>
    <col min="11009" max="11009" width="13.5546875" bestFit="1" customWidth="1"/>
    <col min="11010" max="11010" width="32" bestFit="1" customWidth="1"/>
    <col min="11017" max="11017" width="13.109375" bestFit="1" customWidth="1"/>
    <col min="11265" max="11265" width="13.5546875" bestFit="1" customWidth="1"/>
    <col min="11266" max="11266" width="32" bestFit="1" customWidth="1"/>
    <col min="11273" max="11273" width="13.109375" bestFit="1" customWidth="1"/>
    <col min="11521" max="11521" width="13.5546875" bestFit="1" customWidth="1"/>
    <col min="11522" max="11522" width="32" bestFit="1" customWidth="1"/>
    <col min="11529" max="11529" width="13.109375" bestFit="1" customWidth="1"/>
    <col min="11777" max="11777" width="13.5546875" bestFit="1" customWidth="1"/>
    <col min="11778" max="11778" width="32" bestFit="1" customWidth="1"/>
    <col min="11785" max="11785" width="13.109375" bestFit="1" customWidth="1"/>
    <col min="12033" max="12033" width="13.5546875" bestFit="1" customWidth="1"/>
    <col min="12034" max="12034" width="32" bestFit="1" customWidth="1"/>
    <col min="12041" max="12041" width="13.109375" bestFit="1" customWidth="1"/>
    <col min="12289" max="12289" width="13.5546875" bestFit="1" customWidth="1"/>
    <col min="12290" max="12290" width="32" bestFit="1" customWidth="1"/>
    <col min="12297" max="12297" width="13.109375" bestFit="1" customWidth="1"/>
    <col min="12545" max="12545" width="13.5546875" bestFit="1" customWidth="1"/>
    <col min="12546" max="12546" width="32" bestFit="1" customWidth="1"/>
    <col min="12553" max="12553" width="13.109375" bestFit="1" customWidth="1"/>
    <col min="12801" max="12801" width="13.5546875" bestFit="1" customWidth="1"/>
    <col min="12802" max="12802" width="32" bestFit="1" customWidth="1"/>
    <col min="12809" max="12809" width="13.109375" bestFit="1" customWidth="1"/>
    <col min="13057" max="13057" width="13.5546875" bestFit="1" customWidth="1"/>
    <col min="13058" max="13058" width="32" bestFit="1" customWidth="1"/>
    <col min="13065" max="13065" width="13.109375" bestFit="1" customWidth="1"/>
    <col min="13313" max="13313" width="13.5546875" bestFit="1" customWidth="1"/>
    <col min="13314" max="13314" width="32" bestFit="1" customWidth="1"/>
    <col min="13321" max="13321" width="13.109375" bestFit="1" customWidth="1"/>
    <col min="13569" max="13569" width="13.5546875" bestFit="1" customWidth="1"/>
    <col min="13570" max="13570" width="32" bestFit="1" customWidth="1"/>
    <col min="13577" max="13577" width="13.109375" bestFit="1" customWidth="1"/>
    <col min="13825" max="13825" width="13.5546875" bestFit="1" customWidth="1"/>
    <col min="13826" max="13826" width="32" bestFit="1" customWidth="1"/>
    <col min="13833" max="13833" width="13.109375" bestFit="1" customWidth="1"/>
    <col min="14081" max="14081" width="13.5546875" bestFit="1" customWidth="1"/>
    <col min="14082" max="14082" width="32" bestFit="1" customWidth="1"/>
    <col min="14089" max="14089" width="13.109375" bestFit="1" customWidth="1"/>
    <col min="14337" max="14337" width="13.5546875" bestFit="1" customWidth="1"/>
    <col min="14338" max="14338" width="32" bestFit="1" customWidth="1"/>
    <col min="14345" max="14345" width="13.109375" bestFit="1" customWidth="1"/>
    <col min="14593" max="14593" width="13.5546875" bestFit="1" customWidth="1"/>
    <col min="14594" max="14594" width="32" bestFit="1" customWidth="1"/>
    <col min="14601" max="14601" width="13.109375" bestFit="1" customWidth="1"/>
    <col min="14849" max="14849" width="13.5546875" bestFit="1" customWidth="1"/>
    <col min="14850" max="14850" width="32" bestFit="1" customWidth="1"/>
    <col min="14857" max="14857" width="13.109375" bestFit="1" customWidth="1"/>
    <col min="15105" max="15105" width="13.5546875" bestFit="1" customWidth="1"/>
    <col min="15106" max="15106" width="32" bestFit="1" customWidth="1"/>
    <col min="15113" max="15113" width="13.109375" bestFit="1" customWidth="1"/>
    <col min="15361" max="15361" width="13.5546875" bestFit="1" customWidth="1"/>
    <col min="15362" max="15362" width="32" bestFit="1" customWidth="1"/>
    <col min="15369" max="15369" width="13.109375" bestFit="1" customWidth="1"/>
    <col min="15617" max="15617" width="13.5546875" bestFit="1" customWidth="1"/>
    <col min="15618" max="15618" width="32" bestFit="1" customWidth="1"/>
    <col min="15625" max="15625" width="13.109375" bestFit="1" customWidth="1"/>
    <col min="15873" max="15873" width="13.5546875" bestFit="1" customWidth="1"/>
    <col min="15874" max="15874" width="32" bestFit="1" customWidth="1"/>
    <col min="15881" max="15881" width="13.109375" bestFit="1" customWidth="1"/>
    <col min="16129" max="16129" width="13.5546875" bestFit="1" customWidth="1"/>
    <col min="16130" max="16130" width="32" bestFit="1" customWidth="1"/>
    <col min="16137" max="16137" width="13.109375" bestFit="1" customWidth="1"/>
  </cols>
  <sheetData>
    <row r="1" spans="1:14" x14ac:dyDescent="0.25">
      <c r="A1" t="str">
        <v>group</v>
      </c>
      <c r="B1" t="str">
        <v>part</v>
      </c>
      <c r="C1" t="str">
        <v>Unit.</v>
      </c>
      <c r="D1"/>
      <c r="E1" t="str">
        <v>Q.ty</v>
      </c>
      <c r="F1" t="str">
        <v>Tot.</v>
      </c>
      <c r="P1" t="str">
        <v>Source: 'Evidenze peso e calcoli.xlsx' (sha256 a3b1fc77e9d9b4d49b22714d9adae554e33155379f7c88815c30cfbdffda76a3), copied unchanged on 2026-10-31: values and formulas as supplied.</v>
      </c>
    </row>
    <row r="2" spans="1:14" x14ac:dyDescent="0.25">
      <c r="A2" t="str">
        <v>base_link</v>
      </c>
      <c r="B2" t="str">
        <v>portafusibile+fusibile+cavi</v>
      </c>
      <c r="C2">
        <v>12</v>
      </c>
      <c r="D2" t="str">
        <v>g</v>
      </c>
      <c r="E2">
        <v>1</v>
      </c>
      <c r="F2">
        <f t="shared" ref="F2:F31" si="0">C2*E2</f>
        <v>12</v>
      </c>
      <c r="G2" t="str">
        <v>g</v>
      </c>
      <c r="I2" t="str">
        <v>peso robot tot.</v>
      </c>
      <c r="J2">
        <v>2807</v>
      </c>
      <c r="K2" t="str">
        <v>g</v>
      </c>
      <c r="L2" t="str">
        <v>(al 30/10/2026)</v>
      </c>
    </row>
    <row r="3" spans="1:14" x14ac:dyDescent="0.25">
      <c r="A3" t="str">
        <v>base_link</v>
      </c>
      <c r="B3" t="str">
        <v>wifi_antenna (+ spinotto)</v>
      </c>
      <c r="C3">
        <v>7</v>
      </c>
      <c r="D3" t="str">
        <v>g</v>
      </c>
      <c r="E3">
        <v>1</v>
      </c>
      <c r="F3">
        <f t="shared" si="0"/>
        <v>7</v>
      </c>
      <c r="G3" t="str">
        <v>g</v>
      </c>
      <c r="I3" t="str">
        <v>(senza jetson orin)</v>
      </c>
    </row>
    <row r="4" spans="1:14" x14ac:dyDescent="0.25">
      <c r="A4" t="str">
        <v>base_link</v>
      </c>
      <c r="B4" t="str">
        <v>base_link__charge_pads_cover</v>
      </c>
      <c r="C4">
        <v>5</v>
      </c>
      <c r="D4" t="str">
        <v>g</v>
      </c>
      <c r="E4">
        <v>1</v>
      </c>
      <c r="F4">
        <f t="shared" si="0"/>
        <v>5</v>
      </c>
      <c r="G4" t="str">
        <v>g</v>
      </c>
    </row>
    <row r="5" spans="1:14" x14ac:dyDescent="0.25">
      <c r="A5" t="str">
        <v>base_link</v>
      </c>
      <c r="B5" t="str">
        <v>dado m4 flang</v>
      </c>
      <c r="C5">
        <v>1</v>
      </c>
      <c r="D5" t="str">
        <v>g</v>
      </c>
      <c r="E5">
        <v>2</v>
      </c>
      <c r="F5">
        <f t="shared" si="0"/>
        <v>2</v>
      </c>
      <c r="G5" t="str">
        <v>g</v>
      </c>
      <c r="J5" t="str">
        <v>Unit.</v>
      </c>
      <c r="L5" t="str">
        <v>Q.ty</v>
      </c>
      <c r="M5" t="str">
        <v>Tot.</v>
      </c>
      <c r="N5"/>
    </row>
    <row r="6" spans="1:14" x14ac:dyDescent="0.25">
      <c r="A6" t="str">
        <v>base_link</v>
      </c>
      <c r="B6" t="str">
        <v>occhiello m4+cavo</v>
      </c>
      <c r="C6">
        <v>2</v>
      </c>
      <c r="D6" t="str">
        <v>g</v>
      </c>
      <c r="E6">
        <v>2</v>
      </c>
      <c r="F6">
        <f t="shared" si="0"/>
        <v>4</v>
      </c>
      <c r="G6" t="str">
        <v>g</v>
      </c>
      <c r="I6" t="str">
        <v>servo cable+4xM2.5</v>
      </c>
      <c r="J6">
        <f>J19</f>
        <v>1.5</v>
      </c>
      <c r="K6" t="str">
        <v>g</v>
      </c>
      <c r="L6">
        <v>8</v>
      </c>
      <c r="M6">
        <f>J6*L6</f>
        <v>12</v>
      </c>
      <c r="N6" t="str">
        <v>g</v>
      </c>
    </row>
    <row r="7" spans="1:14" x14ac:dyDescent="0.25">
      <c r="A7" t="str">
        <v>base_link</v>
      </c>
      <c r="B7" t="str">
        <v>soldered_rear_pad</v>
      </c>
      <c r="C7">
        <v>4</v>
      </c>
      <c r="D7" t="str">
        <v>g</v>
      </c>
      <c r="E7">
        <v>2</v>
      </c>
      <c r="F7">
        <f t="shared" si="0"/>
        <v>8</v>
      </c>
      <c r="G7" t="str">
        <v>g</v>
      </c>
      <c r="I7" t="str">
        <v>motor housing</v>
      </c>
      <c r="J7">
        <v>58</v>
      </c>
      <c r="K7" t="str">
        <v>g</v>
      </c>
      <c r="L7">
        <v>5</v>
      </c>
      <c r="M7">
        <f>J7*L7</f>
        <v>290</v>
      </c>
      <c r="N7" t="str">
        <v>g</v>
      </c>
    </row>
    <row r="8" spans="1:14" x14ac:dyDescent="0.25">
      <c r="A8" t="str">
        <v>base_link</v>
      </c>
      <c r="B8" t="str">
        <v>magnete Ø3x6</v>
      </c>
      <c r="C8">
        <v>0.5</v>
      </c>
      <c r="D8" t="str">
        <v>g</v>
      </c>
      <c r="E8">
        <v>4</v>
      </c>
      <c r="F8">
        <f t="shared" si="0"/>
        <v>2</v>
      </c>
      <c r="G8" t="str">
        <v>g</v>
      </c>
      <c r="I8" t="str">
        <v>zampa completa</v>
      </c>
      <c r="J8">
        <f>F69</f>
        <v>275.39999999999998</v>
      </c>
      <c r="K8" t="str">
        <v>g</v>
      </c>
      <c r="L8">
        <v>4</v>
      </c>
      <c r="M8">
        <f>J8*L8</f>
        <v>1101.5999999999999</v>
      </c>
      <c r="N8" t="str">
        <v>g</v>
      </c>
    </row>
    <row r="9" spans="1:14" x14ac:dyDescent="0.25">
      <c r="A9" t="str">
        <v>base_link</v>
      </c>
      <c r="B9" t="str">
        <v>vite M2.5 x 6 autof.</v>
      </c>
      <c r="C9">
        <v>0.5</v>
      </c>
      <c r="D9" t="str">
        <v>g</v>
      </c>
      <c r="E9">
        <v>2</v>
      </c>
      <c r="F9">
        <f t="shared" si="0"/>
        <v>1</v>
      </c>
      <c r="G9" t="str">
        <v>g</v>
      </c>
    </row>
    <row r="10" spans="1:14" x14ac:dyDescent="0.25">
      <c r="A10" t="str">
        <v>base_link</v>
      </c>
      <c r="B10" t="str">
        <v>rear_fuse_cover (disgiuntore)</v>
      </c>
      <c r="C10">
        <v>7</v>
      </c>
      <c r="D10" t="str">
        <v>g</v>
      </c>
      <c r="E10">
        <v>1</v>
      </c>
      <c r="F10">
        <f t="shared" si="0"/>
        <v>7</v>
      </c>
      <c r="G10" t="str">
        <v>g</v>
      </c>
    </row>
    <row r="11" spans="1:14" x14ac:dyDescent="0.25">
      <c r="A11" t="str">
        <v>base_link</v>
      </c>
      <c r="B11" t="str">
        <v>base_link_rear</v>
      </c>
      <c r="C11">
        <v>49</v>
      </c>
      <c r="D11" t="str">
        <v>g</v>
      </c>
      <c r="E11">
        <v>1</v>
      </c>
      <c r="F11">
        <f t="shared" si="0"/>
        <v>49</v>
      </c>
      <c r="G11" t="str">
        <v>g</v>
      </c>
      <c r="I11" t="str">
        <v>Somma CAD</v>
      </c>
      <c r="J11">
        <f>F33-F16+SUM(M6:M8)</f>
        <v>2768.2</v>
      </c>
      <c r="K11" t="str">
        <v>g</v>
      </c>
      <c r="L11" t="str">
        <v>(rimossa Jetson Orin)</v>
      </c>
    </row>
    <row r="12" spans="1:14" x14ac:dyDescent="0.25">
      <c r="A12" t="str">
        <v>base_link</v>
      </c>
      <c r="B12" t="str">
        <v>vite M3.5 x 20 autof.</v>
      </c>
      <c r="C12">
        <v>2.5</v>
      </c>
      <c r="D12" t="str">
        <v>g</v>
      </c>
      <c r="E12">
        <v>4</v>
      </c>
      <c r="F12">
        <f t="shared" si="0"/>
        <v>10</v>
      </c>
      <c r="G12" t="str">
        <v>g</v>
      </c>
    </row>
    <row r="13" spans="1:14" x14ac:dyDescent="0.25">
      <c r="A13" t="str">
        <v>base_link</v>
      </c>
      <c r="B13" t="str">
        <v>base_link__main_chassis</v>
      </c>
      <c r="C13">
        <v>283</v>
      </c>
      <c r="D13" t="str">
        <v>g</v>
      </c>
      <c r="E13">
        <v>1</v>
      </c>
      <c r="F13">
        <f t="shared" si="0"/>
        <v>283</v>
      </c>
      <c r="G13" t="str">
        <v>g</v>
      </c>
      <c r="I13" t="str">
        <v>Diff</v>
      </c>
      <c r="J13">
        <f>J2-J11</f>
        <v>38.800000000000182</v>
      </c>
      <c r="K13" t="str">
        <v>g</v>
      </c>
      <c r="L13">
        <f>1-J2/J11</f>
        <v>-1.4016328299978342E-2</v>
      </c>
    </row>
    <row r="14" spans="1:14" x14ac:dyDescent="0.25">
      <c r="A14" t="str">
        <v>base_link</v>
      </c>
      <c r="B14" t="str">
        <v>base_link__body_cover</v>
      </c>
      <c r="C14">
        <v>86</v>
      </c>
      <c r="D14" t="str">
        <v>g</v>
      </c>
      <c r="E14">
        <v>1</v>
      </c>
      <c r="F14">
        <f t="shared" si="0"/>
        <v>86</v>
      </c>
      <c r="G14" t="str">
        <v>g</v>
      </c>
    </row>
    <row r="15" spans="1:14" x14ac:dyDescent="0.25">
      <c r="A15" t="str">
        <v>base_link</v>
      </c>
      <c r="B15" t="str">
        <v>base_link__battery_cover</v>
      </c>
      <c r="C15">
        <v>41</v>
      </c>
      <c r="D15" t="str">
        <v>g</v>
      </c>
      <c r="E15">
        <v>1</v>
      </c>
      <c r="F15">
        <f t="shared" si="0"/>
        <v>41</v>
      </c>
      <c r="G15" t="str">
        <v>g</v>
      </c>
    </row>
    <row r="16" spans="1:14" x14ac:dyDescent="0.25">
      <c r="A16" t="str">
        <v>base_link</v>
      </c>
      <c r="B16" t="str">
        <v>base_link__jetson_orin_nano</v>
      </c>
      <c r="C16">
        <v>175</v>
      </c>
      <c r="D16" t="str">
        <v>g</v>
      </c>
      <c r="E16">
        <v>1</v>
      </c>
      <c r="F16">
        <f t="shared" si="0"/>
        <v>175</v>
      </c>
      <c r="G16" t="str">
        <v>g</v>
      </c>
      <c r="I16" t="str">
        <v>evidenze misurate</v>
      </c>
      <c r="J16"/>
      <c r="K16"/>
    </row>
    <row r="17" spans="1:11" x14ac:dyDescent="0.25">
      <c r="A17" t="str">
        <v>base_link</v>
      </c>
      <c r="B17" t="str">
        <v>base_link__battery_3s_9000mah</v>
      </c>
      <c r="C17">
        <v>561</v>
      </c>
      <c r="D17" t="str">
        <v>g</v>
      </c>
      <c r="E17">
        <v>1</v>
      </c>
      <c r="F17">
        <f t="shared" si="0"/>
        <v>561</v>
      </c>
      <c r="G17" t="str">
        <v>g</v>
      </c>
    </row>
    <row r="18" spans="1:11" x14ac:dyDescent="0.25">
      <c r="A18" t="str">
        <v>base_link</v>
      </c>
      <c r="B18" t="str">
        <v>Adafruit_BNO085_STEMMA_QT</v>
      </c>
      <c r="C18">
        <v>5</v>
      </c>
      <c r="D18" t="str">
        <v>g</v>
      </c>
      <c r="E18">
        <v>1</v>
      </c>
      <c r="F18">
        <f t="shared" si="0"/>
        <v>5</v>
      </c>
      <c r="G18" t="str">
        <v>g</v>
      </c>
      <c r="I18" t="str">
        <v>motor housing</v>
      </c>
      <c r="J18">
        <v>58</v>
      </c>
      <c r="K18" t="str">
        <v>g</v>
      </c>
    </row>
    <row r="19" spans="1:11" x14ac:dyDescent="0.25">
      <c r="A19" t="str">
        <v>base_link</v>
      </c>
      <c r="B19" t="str">
        <v>Daly_Smart_BMS_H-series_3S_60A</v>
      </c>
      <c r="C19">
        <v>133</v>
      </c>
      <c r="D19" t="str">
        <v>g</v>
      </c>
      <c r="E19">
        <v>1</v>
      </c>
      <c r="F19">
        <f t="shared" si="0"/>
        <v>133</v>
      </c>
      <c r="G19" t="str">
        <v>g</v>
      </c>
      <c r="I19" t="str">
        <v>servo cable+4xM2.5</v>
      </c>
      <c r="J19">
        <v>1.5</v>
      </c>
      <c r="K19" t="str">
        <v>g</v>
      </c>
    </row>
    <row r="20" spans="1:11" x14ac:dyDescent="0.25">
      <c r="A20" t="str">
        <v>base_link</v>
      </c>
      <c r="B20" t="str">
        <v>base_link__BMS_holder</v>
      </c>
      <c r="C20">
        <v>4</v>
      </c>
      <c r="D20" t="str">
        <v>g</v>
      </c>
      <c r="E20">
        <v>1</v>
      </c>
      <c r="F20">
        <f t="shared" si="0"/>
        <v>4</v>
      </c>
      <c r="G20" t="str">
        <v>g</v>
      </c>
      <c r="I20" t="str">
        <v>horn</v>
      </c>
      <c r="J20">
        <v>2</v>
      </c>
      <c r="K20" t="str">
        <v>g</v>
      </c>
    </row>
    <row r="21" spans="1:11" x14ac:dyDescent="0.25">
      <c r="A21" t="str">
        <v>base_link</v>
      </c>
      <c r="B21" t="str">
        <v>motion_controller__bracket</v>
      </c>
      <c r="C21">
        <v>9</v>
      </c>
      <c r="D21" t="str">
        <v>g</v>
      </c>
      <c r="E21">
        <v>1</v>
      </c>
      <c r="F21">
        <f t="shared" si="0"/>
        <v>9</v>
      </c>
      <c r="G21" t="str">
        <v>g</v>
      </c>
      <c r="I21" t="str">
        <v>idler_horn</v>
      </c>
      <c r="J21">
        <v>1.25</v>
      </c>
      <c r="K21" t="str">
        <v>g</v>
      </c>
    </row>
    <row r="22" spans="1:11" x14ac:dyDescent="0.25">
      <c r="A22" t="str">
        <v>base_link</v>
      </c>
      <c r="B22" t="str">
        <v>motion_controller__shield</v>
      </c>
      <c r="C22">
        <v>21</v>
      </c>
      <c r="D22" t="str">
        <v>g</v>
      </c>
      <c r="E22">
        <v>1</v>
      </c>
      <c r="F22">
        <f t="shared" si="0"/>
        <v>21</v>
      </c>
      <c r="G22" t="str">
        <v>g</v>
      </c>
      <c r="I22" t="str">
        <v>vite M3x6</v>
      </c>
      <c r="J22">
        <v>0.7</v>
      </c>
      <c r="K22" t="str">
        <v>g</v>
      </c>
    </row>
    <row r="23" spans="1:11" x14ac:dyDescent="0.25">
      <c r="A23" t="str">
        <v>base_link</v>
      </c>
      <c r="B23" t="str">
        <v>ESP32_S3_WROOM</v>
      </c>
      <c r="C23">
        <v>12</v>
      </c>
      <c r="D23" t="str">
        <v>g</v>
      </c>
      <c r="E23">
        <v>1</v>
      </c>
      <c r="F23">
        <f t="shared" si="0"/>
        <v>12</v>
      </c>
      <c r="G23" t="str">
        <v>g</v>
      </c>
    </row>
    <row r="24" spans="1:11" x14ac:dyDescent="0.25">
      <c r="A24" t="str">
        <v>base_link</v>
      </c>
      <c r="B24" t="str">
        <v>led_ring_d38_WS2812</v>
      </c>
      <c r="C24">
        <v>4</v>
      </c>
      <c r="D24" t="str">
        <v>g</v>
      </c>
      <c r="E24">
        <v>1</v>
      </c>
      <c r="F24">
        <f t="shared" si="0"/>
        <v>4</v>
      </c>
      <c r="G24" t="str">
        <v>g</v>
      </c>
      <c r="I24" t="str">
        <v>hip_leg_link</v>
      </c>
      <c r="J24">
        <v>31</v>
      </c>
      <c r="K24" t="str">
        <v>g</v>
      </c>
    </row>
    <row r="25" spans="1:11" x14ac:dyDescent="0.25">
      <c r="A25" t="str">
        <v>base_link</v>
      </c>
      <c r="B25" t="str">
        <v>key_toggle_switch</v>
      </c>
      <c r="C25">
        <v>1</v>
      </c>
      <c r="D25" t="str">
        <v>g</v>
      </c>
      <c r="E25">
        <v>1</v>
      </c>
      <c r="F25">
        <f t="shared" si="0"/>
        <v>1</v>
      </c>
      <c r="G25" t="str">
        <v>g</v>
      </c>
    </row>
    <row r="26" spans="1:11" x14ac:dyDescent="0.25">
      <c r="A26" t="str">
        <v>base_link</v>
      </c>
      <c r="B26" t="str">
        <v>cover_led_logo</v>
      </c>
      <c r="C26">
        <v>4</v>
      </c>
      <c r="D26" t="str">
        <v>g</v>
      </c>
      <c r="E26">
        <v>1</v>
      </c>
      <c r="F26">
        <f t="shared" si="0"/>
        <v>4</v>
      </c>
      <c r="G26" t="str">
        <v>g</v>
      </c>
      <c r="I26" t="str">
        <v>upper leg link</v>
      </c>
      <c r="J26">
        <v>30</v>
      </c>
      <c r="K26" t="str">
        <v>g</v>
      </c>
    </row>
    <row r="27" spans="1:11" x14ac:dyDescent="0.25">
      <c r="A27" t="str">
        <v>base_link</v>
      </c>
      <c r="B27" t="str">
        <v>SEED_Bus_Servo_Driver_Board</v>
      </c>
      <c r="C27">
        <v>10</v>
      </c>
      <c r="D27" t="str">
        <v>g</v>
      </c>
      <c r="E27">
        <v>1</v>
      </c>
      <c r="F27">
        <f t="shared" si="0"/>
        <v>10</v>
      </c>
      <c r="G27" t="str">
        <v>g</v>
      </c>
      <c r="I27" t="str">
        <v>upper leg cover</v>
      </c>
      <c r="J27">
        <v>3</v>
      </c>
      <c r="K27" t="str">
        <v>g</v>
      </c>
    </row>
    <row r="28" spans="1:11" x14ac:dyDescent="0.25">
      <c r="A28" t="str">
        <v>base_link</v>
      </c>
      <c r="B28" t="str">
        <v>servo_power_board</v>
      </c>
      <c r="C28">
        <v>32</v>
      </c>
      <c r="D28" t="str">
        <v>g</v>
      </c>
      <c r="E28">
        <v>1</v>
      </c>
      <c r="F28">
        <f t="shared" si="0"/>
        <v>32</v>
      </c>
      <c r="G28" t="str">
        <v>g</v>
      </c>
    </row>
    <row r="29" spans="1:11" x14ac:dyDescent="0.25">
      <c r="A29" t="str">
        <v>base_link</v>
      </c>
      <c r="B29" t="str">
        <v>dado m4 flang</v>
      </c>
      <c r="C29">
        <v>1</v>
      </c>
      <c r="D29" t="str">
        <v>g</v>
      </c>
      <c r="E29">
        <v>2</v>
      </c>
      <c r="F29">
        <f t="shared" si="0"/>
        <v>2</v>
      </c>
      <c r="G29" t="str">
        <v>g</v>
      </c>
      <c r="I29" t="str">
        <v>lower_leg_link</v>
      </c>
      <c r="J29">
        <v>46.5</v>
      </c>
      <c r="K29" t="str">
        <v>g</v>
      </c>
    </row>
    <row r="30" spans="1:11" x14ac:dyDescent="0.25">
      <c r="A30" t="str">
        <v>base_link</v>
      </c>
      <c r="B30" t="str">
        <v>BT dongle Daly</v>
      </c>
      <c r="C30">
        <v>28</v>
      </c>
      <c r="D30" t="str">
        <v>g</v>
      </c>
      <c r="E30">
        <v>1</v>
      </c>
      <c r="F30">
        <f t="shared" si="0"/>
        <v>28</v>
      </c>
      <c r="G30" t="str">
        <v>g</v>
      </c>
    </row>
    <row r="31" spans="1:11" x14ac:dyDescent="0.25">
      <c r="A31" t="str">
        <v>base_link</v>
      </c>
      <c r="B31" t="str">
        <v>viti autofilettanti (peso medio)</v>
      </c>
      <c r="C31">
        <v>1.2</v>
      </c>
      <c r="D31" t="str">
        <v>g</v>
      </c>
      <c r="E31">
        <v>18</v>
      </c>
      <c r="F31">
        <f t="shared" si="0"/>
        <v>21.599999999999998</v>
      </c>
      <c r="G31" t="str">
        <v>g</v>
      </c>
      <c r="I31" t="str">
        <v>rubber_foot</v>
      </c>
      <c r="J31">
        <v>6.5</v>
      </c>
      <c r="K31" t="str">
        <v>g</v>
      </c>
    </row>
    <row r="33" spans="1:11" x14ac:dyDescent="0.25">
      <c r="B33" t="str">
        <v>Somma analitica Base_link senza motor joint x 5</v>
      </c>
      <c r="E33" t="str">
        <v>sub. Tot.</v>
      </c>
      <c r="F33">
        <f>SUM(F2:F31)</f>
        <v>1539.6</v>
      </c>
      <c r="G33" t="str">
        <v>gr</v>
      </c>
      <c r="I33" t="str">
        <v>vite M5x12 TBEI</v>
      </c>
      <c r="J33">
        <v>2.25</v>
      </c>
      <c r="K33" t="str">
        <v>g</v>
      </c>
    </row>
    <row r="34" spans="1:11" x14ac:dyDescent="0.25">
      <c r="I34" t="str">
        <v>dado m5</v>
      </c>
      <c r="J34">
        <v>1.5</v>
      </c>
      <c r="K34" t="str">
        <v>g</v>
      </c>
    </row>
    <row r="36" spans="1:11" x14ac:dyDescent="0.25">
      <c r="A36" t="str">
        <v>group</v>
      </c>
      <c r="B36" t="str">
        <v>part</v>
      </c>
      <c r="C36" t="str">
        <v>Unit.</v>
      </c>
      <c r="D36"/>
      <c r="E36" t="str">
        <v>Q.ty</v>
      </c>
      <c r="F36" t="str">
        <v>Tot.</v>
      </c>
      <c r="I36" t="str">
        <v>base_link</v>
      </c>
      <c r="J36">
        <v>283</v>
      </c>
      <c r="K36" t="str">
        <v>g</v>
      </c>
    </row>
    <row r="37" spans="1:11" x14ac:dyDescent="0.25">
      <c r="A37" t="str">
        <v>*hip_leg_link</v>
      </c>
      <c r="B37" t="str">
        <v>*_hip_link</v>
      </c>
      <c r="C37">
        <f>J24</f>
        <v>31</v>
      </c>
      <c r="D37" t="str">
        <v>g</v>
      </c>
      <c r="E37">
        <v>1</v>
      </c>
      <c r="F37">
        <f>C37*E37</f>
        <v>31</v>
      </c>
    </row>
    <row r="38" spans="1:11" x14ac:dyDescent="0.25">
      <c r="A38" t="str">
        <v>*hip_leg_link</v>
      </c>
      <c r="B38" t="str">
        <v>horn</v>
      </c>
      <c r="C38">
        <f>J20</f>
        <v>2</v>
      </c>
      <c r="D38" t="str">
        <v>g</v>
      </c>
      <c r="E38">
        <v>2</v>
      </c>
      <c r="F38">
        <f t="shared" ref="F38:F40" si="1">C38*E38</f>
        <v>4</v>
      </c>
    </row>
    <row r="39" spans="1:11" x14ac:dyDescent="0.25">
      <c r="A39" t="str">
        <v>*hip_leg_link</v>
      </c>
      <c r="B39" t="str">
        <v>idler horn</v>
      </c>
      <c r="C39">
        <f>J21</f>
        <v>1.25</v>
      </c>
      <c r="D39" t="str">
        <v>g</v>
      </c>
      <c r="E39">
        <v>2</v>
      </c>
      <c r="F39">
        <f t="shared" si="1"/>
        <v>2.5</v>
      </c>
    </row>
    <row r="40" spans="1:11" x14ac:dyDescent="0.25">
      <c r="A40" t="str">
        <v>*hip_leg_link</v>
      </c>
      <c r="B40" t="str">
        <v>vite M3x6</v>
      </c>
      <c r="C40">
        <f>J22</f>
        <v>0.7</v>
      </c>
      <c r="D40" t="str">
        <v>g</v>
      </c>
      <c r="E40">
        <v>18</v>
      </c>
      <c r="F40">
        <f t="shared" si="1"/>
        <v>12.6</v>
      </c>
    </row>
    <row r="41" spans="1:11" x14ac:dyDescent="0.25">
      <c r="E41" t="str">
        <v>Tot. Analit.</v>
      </c>
      <c r="F41">
        <f>SUM(F37:F40)</f>
        <v>50.1</v>
      </c>
    </row>
    <row r="42" spans="1:11" x14ac:dyDescent="0.25">
      <c r="E42" t="str">
        <v>Tot. CAD</v>
      </c>
      <c r="F42">
        <v>50</v>
      </c>
    </row>
    <row r="43" spans="1:11" x14ac:dyDescent="0.25">
      <c r="E43" t="str">
        <v>% CAD</v>
      </c>
      <c r="F43">
        <f>ABS(1-(F42/F41))</f>
        <v>1.9960079840319889E-3</v>
      </c>
    </row>
    <row r="45" spans="1:11" x14ac:dyDescent="0.25">
      <c r="A45" t="str">
        <v>*upper_leg_link</v>
      </c>
      <c r="B45" t="str">
        <v>main__upper_leg_link</v>
      </c>
      <c r="C45">
        <f>J26</f>
        <v>30</v>
      </c>
      <c r="D45" t="str">
        <v>g</v>
      </c>
      <c r="E45">
        <v>1</v>
      </c>
      <c r="F45">
        <f>C45*E45</f>
        <v>30</v>
      </c>
    </row>
    <row r="46" spans="1:11" x14ac:dyDescent="0.25">
      <c r="A46" t="str">
        <v>*upper_leg_link</v>
      </c>
      <c r="B46" t="str">
        <v>cover__upper_leg_link</v>
      </c>
      <c r="C46">
        <f>J27</f>
        <v>3</v>
      </c>
      <c r="D46" t="str">
        <v>g</v>
      </c>
      <c r="E46">
        <v>1</v>
      </c>
      <c r="F46">
        <f t="shared" ref="F46:F48" si="2">C46*E46</f>
        <v>3</v>
      </c>
    </row>
    <row r="47" spans="1:11" x14ac:dyDescent="0.25">
      <c r="A47" t="str">
        <v>*upper_leg_link</v>
      </c>
      <c r="B47" t="str">
        <v>joint__servo_ST3215_body</v>
      </c>
      <c r="C47">
        <f>J18</f>
        <v>58</v>
      </c>
      <c r="D47" t="str">
        <v>g</v>
      </c>
      <c r="E47">
        <v>2</v>
      </c>
      <c r="F47">
        <f t="shared" si="2"/>
        <v>116</v>
      </c>
    </row>
    <row r="48" spans="1:11" x14ac:dyDescent="0.25">
      <c r="B48" t="str">
        <v>motor cable</v>
      </c>
      <c r="C48">
        <f>J19</f>
        <v>1.5</v>
      </c>
      <c r="D48" t="str">
        <v>g</v>
      </c>
      <c r="E48">
        <v>2</v>
      </c>
      <c r="F48">
        <f t="shared" si="2"/>
        <v>3</v>
      </c>
    </row>
    <row r="49" spans="1:6" x14ac:dyDescent="0.25">
      <c r="E49" t="str">
        <v>Tot. Analit.</v>
      </c>
      <c r="F49">
        <f>SUM(F45:F48)</f>
        <v>152</v>
      </c>
    </row>
    <row r="50" spans="1:6" x14ac:dyDescent="0.25">
      <c r="E50" t="str">
        <v>Tot. CAD</v>
      </c>
      <c r="F50">
        <v>152</v>
      </c>
    </row>
    <row r="51" spans="1:6" x14ac:dyDescent="0.25">
      <c r="E51" t="str">
        <v>% CAD</v>
      </c>
      <c r="F51">
        <f>ABS(1-(F50/F49))</f>
        <v>0</v>
      </c>
    </row>
    <row r="53" spans="1:6" x14ac:dyDescent="0.25">
      <c r="A53" t="str">
        <v>*lower_leg_link</v>
      </c>
      <c r="B53" t="str">
        <v>*_lower_leg_link</v>
      </c>
      <c r="C53">
        <f>J29</f>
        <v>46.5</v>
      </c>
      <c r="D53" t="str">
        <v>g</v>
      </c>
      <c r="E53">
        <v>1</v>
      </c>
      <c r="F53">
        <f>C53*E53</f>
        <v>46.5</v>
      </c>
    </row>
    <row r="54" spans="1:6" x14ac:dyDescent="0.25">
      <c r="A54" t="str">
        <v>*lower_leg_link</v>
      </c>
      <c r="B54" t="str">
        <v>horn</v>
      </c>
      <c r="C54">
        <f>J20</f>
        <v>2</v>
      </c>
      <c r="D54" t="str">
        <v>g</v>
      </c>
      <c r="E54">
        <v>2</v>
      </c>
      <c r="F54">
        <f t="shared" ref="F54:F56" si="3">C54*E54</f>
        <v>4</v>
      </c>
    </row>
    <row r="55" spans="1:6" x14ac:dyDescent="0.25">
      <c r="A55" t="str">
        <v>*lower_leg_link</v>
      </c>
      <c r="B55" t="str">
        <v>idler horn</v>
      </c>
      <c r="C55">
        <f>J21</f>
        <v>1.25</v>
      </c>
      <c r="D55" t="str">
        <v>g</v>
      </c>
      <c r="E55">
        <v>2</v>
      </c>
      <c r="F55">
        <f t="shared" si="3"/>
        <v>2.5</v>
      </c>
    </row>
    <row r="56" spans="1:6" x14ac:dyDescent="0.25">
      <c r="A56" t="str">
        <v>*lower_leg_link</v>
      </c>
      <c r="B56" t="str">
        <v>vite M3x6</v>
      </c>
      <c r="C56">
        <f>J22</f>
        <v>0.7</v>
      </c>
      <c r="D56" t="str">
        <v>g</v>
      </c>
      <c r="E56">
        <v>9</v>
      </c>
      <c r="F56">
        <f t="shared" si="3"/>
        <v>6.3</v>
      </c>
    </row>
    <row r="57" spans="1:6" x14ac:dyDescent="0.25">
      <c r="E57" t="str">
        <v>Tot. Analit.</v>
      </c>
      <c r="F57">
        <f>SUM(F53:F56)</f>
        <v>59.3</v>
      </c>
    </row>
    <row r="58" spans="1:6" x14ac:dyDescent="0.25">
      <c r="E58" t="str">
        <v>Tot. CAD</v>
      </c>
      <c r="F58">
        <v>59</v>
      </c>
    </row>
    <row r="59" spans="1:6" x14ac:dyDescent="0.25">
      <c r="E59" t="str">
        <v>% CAD</v>
      </c>
      <c r="F59">
        <f>ABS(1-(F58/F57))</f>
        <v>5.0590219224282418E-3</v>
      </c>
    </row>
    <row r="61" spans="1:6" x14ac:dyDescent="0.25">
      <c r="A61" t="str">
        <v>*foot_leg_link</v>
      </c>
      <c r="B61" t="str">
        <v>*_feet_leg_link</v>
      </c>
      <c r="C61">
        <f>J31</f>
        <v>6.5</v>
      </c>
      <c r="D61" t="str">
        <v>g</v>
      </c>
      <c r="E61">
        <v>1</v>
      </c>
      <c r="F61">
        <f>C61*E61</f>
        <v>6.5</v>
      </c>
    </row>
    <row r="62" spans="1:6" x14ac:dyDescent="0.25">
      <c r="A62" t="str">
        <v>*foot_leg_link</v>
      </c>
      <c r="B62" t="str">
        <v>vite M5x12 TBEI</v>
      </c>
      <c r="C62">
        <f>J33</f>
        <v>2.25</v>
      </c>
      <c r="D62" t="str">
        <v>g</v>
      </c>
      <c r="E62">
        <v>2</v>
      </c>
      <c r="F62">
        <f t="shared" ref="F62:F63" si="4">C62*E62</f>
        <v>4.5</v>
      </c>
    </row>
    <row r="63" spans="1:6" x14ac:dyDescent="0.25">
      <c r="A63" t="str">
        <v>*foot_leg_link</v>
      </c>
      <c r="B63" t="str">
        <v>dado m5</v>
      </c>
      <c r="C63">
        <f>J34</f>
        <v>1.5</v>
      </c>
      <c r="D63" t="str">
        <v>g</v>
      </c>
      <c r="E63">
        <v>2</v>
      </c>
      <c r="F63">
        <f t="shared" si="4"/>
        <v>3</v>
      </c>
    </row>
    <row r="64" spans="1:6" x14ac:dyDescent="0.25">
      <c r="B64"/>
      <c r="E64" t="str">
        <v>Tot. Analit.</v>
      </c>
      <c r="F64">
        <f>SUM(F61:F63)</f>
        <v>14</v>
      </c>
    </row>
    <row r="65" spans="5:6" x14ac:dyDescent="0.25">
      <c r="E65" t="str">
        <v>Tot. CAD</v>
      </c>
      <c r="F65">
        <v>14</v>
      </c>
    </row>
    <row r="66" spans="5:6" x14ac:dyDescent="0.25">
      <c r="E66" t="str">
        <v>% CAD</v>
      </c>
      <c r="F66">
        <f>ABS(1-(F65/F64))</f>
        <v>0</v>
      </c>
    </row>
    <row r="68" spans="5:6" x14ac:dyDescent="0.25">
      <c r="E68" t="str">
        <v>TOTALE ZAMPA</v>
      </c>
      <c r="F68"/>
    </row>
    <row r="69" spans="5:6" x14ac:dyDescent="0.25">
      <c r="E69" t="str">
        <v>Tot. Analit.</v>
      </c>
      <c r="F69">
        <f>SUM(F41+F49+F57+F64)</f>
        <v>275.39999999999998</v>
      </c>
    </row>
    <row r="70" spans="5:6" x14ac:dyDescent="0.25">
      <c r="E70" t="str">
        <v>Tot. CAD</v>
      </c>
      <c r="F70">
        <f>SUM(F42+F50+F58+F65)</f>
        <v>275</v>
      </c>
    </row>
    <row r="71" spans="5:6" x14ac:dyDescent="0.25">
      <c r="E71" t="str">
        <v>% CAD</v>
      </c>
      <c r="F71">
        <f>ABS(1-(F70/F69))</f>
        <v>1.4524328249817531E-3</v>
      </c>
    </row>
  </sheetData>
  <mergeCells count="1">
    <mergeCell ref="I16:K16"/>
  </mergeCells>
  <pageMargins left="0.7" right="0.7" top="0.75" bottom="0.75" header="0.3" footer="0.3"/>
</worksheet>
</file>

<file path=xl/worksheets/sheet13.xml><?xml version="1.0" encoding="utf-8"?>
<x:worksheet xmlns:x="http://schemas.openxmlformats.org/spreadsheetml/2006/main">
  <x:cols>
    <x:col min="1" max="1" width="52" customWidth="1"/>
    <x:col min="2" max="2" width="70" customWidth="1"/>
    <x:col min="3" max="3" width="14" customWidth="1"/>
    <x:col min="4" max="4" width="60" customWidth="1"/>
  </x:cols>
  <x:sheetData>
    <x:row r="1">
      <x:c r="A1" t="str" s="345">
        <x:v>Evidence file</x:v>
      </x:c>
      <x:c r="B1" t="str" s="345">
        <x:v>SHA-256</x:v>
      </x:c>
      <x:c r="C1" t="str" s="345">
        <x:v>Role</x:v>
      </x:c>
      <x:c r="D1" t="str" s="345">
        <x:v>Location</x:v>
      </x:c>
    </x:row>
    <x:row r="2">
      <x:c r="A2" t="str" s="372">
        <x:v>Evidenze peso e calcoli.xlsx</x:v>
      </x:c>
      <x:c r="B2" t="str" s="372">
        <x:v>a3b1fc77e9d9b4d49b22714d9adae554e33155379f7c88815c30cfbdffda76a3</x:v>
      </x:c>
      <x:c r="C2" t="str" s="372">
        <x:v>CURRENT</x:v>
      </x:c>
      <x:c r="D2" t="str" s="372">
        <x:v>09_Logs/Validation_Reports/REV01_FIX_Physical_Properties_2026-10-31/input/Evidenze peso e calcoli.xlsx</x:v>
      </x:c>
    </x:row>
    <x:row r="3">
      <x:c r="A3" t="str" s="372">
        <x:v>PESO REALE DEL ROBOT AL 30_10_2026.docx</x:v>
      </x:c>
      <x:c r="B3" t="str" s="372">
        <x:v>9eda346ccf028afab08fac93ebca437d3414376b8ea3317508fdbde399c16b09</x:v>
      </x:c>
      <x:c r="C3" t="str" s="372">
        <x:v>CURRENT</x:v>
      </x:c>
      <x:c r="D3" t="str" s="372">
        <x:v>09_Logs/Validation_Reports/REV01_FIX_Physical_Properties_2026-10-31/input/PESO REALE DEL ROBOT AL 30_10_2026.docx</x:v>
      </x:c>
    </x:row>
    <x:row r="4">
      <x:c r="A4" t="str" s="372">
        <x:v>base_link__physprop.txt</x:v>
      </x:c>
      <x:c r="B4" t="str" s="372">
        <x:v>5aac79cfb3f1ecd0ad2be7f4a789e76b44b348e8c5bd28c9a4b9c809e3e489a0</x:v>
      </x:c>
      <x:c r="C4" t="str" s="372">
        <x:v>CURRENT</x:v>
      </x:c>
      <x:c r="D4" t="str" s="372">
        <x:v>09_Logs/Validation_Reports/REV01_FIX_Physical_Properties_2026-10-31/input/base_link__physprop.txt</x:v>
      </x:c>
    </x:row>
    <x:row r="5">
      <x:c r="A5" t="str" s="372">
        <x:v>matdog_urdf_assembly__physprop.txt</x:v>
      </x:c>
      <x:c r="B5" t="str" s="372">
        <x:v>cc3bc10bfd358d77d937cd4590574b75bb8fb6cdcef4329073f3a0efb7c0c53c</x:v>
      </x:c>
      <x:c r="C5" t="str" s="372">
        <x:v>CURRENT</x:v>
      </x:c>
      <x:c r="D5" t="str" s="372">
        <x:v>09_Logs/Validation_Reports/REV01_FIX_Physical_Properties_2026-10-31/input/matdog_urdf_assembly__physprop.txt</x:v>
      </x:c>
    </x:row>
    <x:row r="6">
      <x:c r="A6" t="str" s="372">
        <x:v>lf_hip_link__physprop.txt</x:v>
      </x:c>
      <x:c r="B6" t="str" s="372">
        <x:v>79b12a9aaccc08979f0640053c362a75ee953223bf83ca9490be052f3a2354f5</x:v>
      </x:c>
      <x:c r="C6" t="str" s="372">
        <x:v>CURRENT</x:v>
      </x:c>
      <x:c r="D6" t="str" s="372">
        <x:v>09_Logs/Validation_Reports/REV01_FIX_Physical_Properties_2026-10-31/input/lf_hip_link__physprop.txt</x:v>
      </x:c>
    </x:row>
    <x:row r="7">
      <x:c r="A7" t="str" s="372">
        <x:v>lf_upper_leg_link__physprop.txt</x:v>
      </x:c>
      <x:c r="B7" t="str" s="372">
        <x:v>70cc00fcafe6d370dfdacc68f9d9437646ae3356e532fc9e7f364ac07749c597</x:v>
      </x:c>
      <x:c r="C7" t="str" s="372">
        <x:v>CURRENT</x:v>
      </x:c>
      <x:c r="D7" t="str" s="372">
        <x:v>09_Logs/Validation_Reports/REV01_FIX_Physical_Properties_2026-10-31/input/lf_upper_leg_link__physprop.txt</x:v>
      </x:c>
    </x:row>
    <x:row r="8">
      <x:c r="A8" t="str" s="372">
        <x:v>lf_lower_leg_link__physprop.txt</x:v>
      </x:c>
      <x:c r="B8" t="str" s="372">
        <x:v>039eeb8b54c65f1a63d119438277ecea01a89b0ceaed86af02ed96f7963381b5</x:v>
      </x:c>
      <x:c r="C8" t="str" s="372">
        <x:v>CURRENT</x:v>
      </x:c>
      <x:c r="D8" t="str" s="372">
        <x:v>09_Logs/Validation_Reports/REV01_FIX_Physical_Properties_2026-10-31/input/lf_lower_leg_link__physprop.txt</x:v>
      </x:c>
    </x:row>
    <x:row r="9">
      <x:c r="A9" t="str" s="372">
        <x:v>lf_foot_link__physprop.txt</x:v>
      </x:c>
      <x:c r="B9" t="str" s="372">
        <x:v>cd976bbcde4d48d2b3628fe59017be7ff68a23cce938551b20941a3678ca67fd</x:v>
      </x:c>
      <x:c r="C9" t="str" s="372">
        <x:v>CURRENT</x:v>
      </x:c>
      <x:c r="D9" t="str" s="372">
        <x:v>09_Logs/Validation_Reports/REV01_FIX_Physical_Properties_2026-10-31/input/lf_foot_link__physprop.txt</x:v>
      </x:c>
    </x:row>
    <x:row r="10">
      <x:c r="A10" t="str" s="372">
        <x:v>Coordinate_Cinematiche_matt_robodog_rev00.xlsx (before the 2026-10-31 update)</x:v>
      </x:c>
      <x:c r="B10" t="str" s="372">
        <x:v>381675b4c4fae0305ed2a2e882c0b9b43f513d9f0e53afff41e60801d798b13f</x:v>
      </x:c>
      <x:c r="C10" t="str" s="372">
        <x:v>HISTORICAL (Git)</x:v>
      </x:c>
      <x:c r="D10" t="str" s="372">
        <x:v>git show 0f8f7ff:03_CAD/URDF/matt_robodog_rev00/reference/Coordinate_Cinematiche_matt_robodog_rev00.xlsx</x:v>
      </x:c>
    </x:row>
    <x:row r="11">
      <x:c r="A11" t="str" s="372">
        <x:v>REV00 physical-property reports (physprop__*.txt, weight_breakdown_summary.txt)</x:v>
      </x:c>
      <x:c r="B11" t="str" s="372">
        <x:v>not in the repository; their values were transcribed in the superseded sheets of the previous workbook version</x:v>
      </x:c>
      <x:c r="C11" t="str" s="372">
        <x:v>HISTORICAL (Git)</x:v>
      </x:c>
    </x:row>
  </x:sheetData>
</x:worksheet>
</file>