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31dc6e9994b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934edb50362e4964"/>
    <x:sheet xmlns:r="http://schemas.openxmlformats.org/officeDocument/2006/relationships" name="Mesh_Transforms" sheetId="2" r:id="R26da9648eeeb444b"/>
    <x:sheet xmlns:r="http://schemas.openxmlformats.org/officeDocument/2006/relationships" name="Reference_Notes" sheetId="3" r:id="Rf0e4cb9402584a51"/>
    <x:sheet xmlns:r="http://schemas.openxmlformats.org/officeDocument/2006/relationships" name="Link_Engineering" sheetId="4" r:id="R37f63bafa818485f"/>
    <x:sheet xmlns:r="http://schemas.openxmlformats.org/officeDocument/2006/relationships" name="Mass_Summary" sheetId="5" r:id="R9fa04e4e118842f0"/>
    <x:sheet xmlns:r="http://schemas.openxmlformats.org/officeDocument/2006/relationships" name="Engineering_Weight_Source" sheetId="6" r:id="Ra9f7c32ad07b4f09"/>
    <x:sheet xmlns:r="http://schemas.openxmlformats.org/officeDocument/2006/relationships" name="URDF_Audit" sheetId="7" r:id="R4acc96da8fb04a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.0000"/>
    <x:numFmt numFmtId="202" formatCode="0.000000"/>
    <x:numFmt numFmtId="203" formatCode="0.000000000000000"/>
  </x:numFmts>
  <x:fonts count="16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28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d025ab9dbc4e2b" /><Relationship Type="http://schemas.openxmlformats.org/officeDocument/2006/relationships/theme" Target="/xl/theme/theme1.xml" Id="R38fbf8f1c0ca441e" /><Relationship Type="http://schemas.openxmlformats.org/officeDocument/2006/relationships/sharedStrings" Target="/xl/sharedStrings.xml" Id="R3a79aae4cbdf47b5" /><Relationship Type="http://schemas.openxmlformats.org/officeDocument/2006/relationships/worksheet" Target="/xl/worksheets/sheet1.xml" Id="R934edb50362e4964" /><Relationship Type="http://schemas.openxmlformats.org/officeDocument/2006/relationships/worksheet" Target="/xl/worksheets/sheet2.xml" Id="R26da9648eeeb444b" /><Relationship Type="http://schemas.openxmlformats.org/officeDocument/2006/relationships/worksheet" Target="/xl/worksheets/sheet3.xml" Id="Rf0e4cb9402584a51" /><Relationship Type="http://schemas.openxmlformats.org/officeDocument/2006/relationships/worksheet" Target="/xl/worksheets/sheet4.xml" Id="R37f63bafa818485f" /><Relationship Type="http://schemas.openxmlformats.org/officeDocument/2006/relationships/worksheet" Target="/xl/worksheets/sheet5.xml" Id="R9fa04e4e118842f0" /><Relationship Type="http://schemas.openxmlformats.org/officeDocument/2006/relationships/worksheet" Target="/xl/worksheets/sheet6.xml" Id="Ra9f7c32ad07b4f09" /><Relationship Type="http://schemas.openxmlformats.org/officeDocument/2006/relationships/worksheet" Target="/xl/worksheets/sheet7.xml" Id="R4acc96da8fb04a92" /></Relationships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Speed&#10;[rpm]"/>
    <x:tableColumn id="22" name="Speed&#10;[rad/s]"/>
    <x:tableColumn id="23" name="Torque&#10;[kg·cm]"/>
    <x:tableColumn id="24" name="Effort&#10;[N·m]"/>
  </x:tableColumns>
  <x:tableStyleInfo name="TableStyleMedium2" showRowStripes="1"/>
</x:table>
</file>

<file path=xl/tables/table2.xml><?xml version="1.0" encoding="utf-8"?>
<x:table xmlns:x="http://schemas.openxmlformats.org/spreadsheetml/2006/main" id="2" name="MeshTransformsTable" displayName="MeshTransformsTable" ref="A5:O22" headerRowCount="1">
  <x:tableColumns count="15">
    <x:tableColumn id="1" name="Link"/>
    <x:tableColumn id="2" name="Visual mesh"/>
    <x:tableColumn id="3" name="Collision mesh"/>
    <x:tableColumn id="4" name="Visual X&#10;[m]"/>
    <x:tableColumn id="5" name="Visual Y&#10;[m]"/>
    <x:tableColumn id="6" name="Visual Z&#10;[m]"/>
    <x:tableColumn id="7" name="Visual R&#10;[deg]"/>
    <x:tableColumn id="8" name="Visual P&#10;[deg]"/>
    <x:tableColumn id="9" name="Visual Yaw&#10;[deg]"/>
    <x:tableColumn id="10" name="Collision X&#10;[m]"/>
    <x:tableColumn id="11" name="Collision Y&#10;[m]"/>
    <x:tableColumn id="12" name="Collision Z&#10;[m]"/>
    <x:tableColumn id="13" name="Collision R&#10;[deg]"/>
    <x:tableColumn id="14" name="Collision P&#10;[deg]"/>
    <x:tableColumn id="15" name="Collision Yaw&#10;[deg]"/>
  </x:tableColumns>
  <x:tableStyleInfo name="TableStyleMedium2" showRowStripes="1"/>
</x:table>
</file>

<file path=xl/tables/table3.xml><?xml version="1.0" encoding="utf-8"?>
<x:table xmlns:x="http://schemas.openxmlformats.org/spreadsheetml/2006/main" id="3" name="LinkEngineeringTable" displayName="LinkEngineeringTable" ref="A4:K21" headerRowCount="1">
  <x:tableColumns count="11">
    <x:tableColumn id="1" name="Link"/>
    <x:tableColumn id="2" name="Zone"/>
    <x:tableColumn id="3" name="URDF mesh"/>
    <x:tableColumn id="4" name="Mass [g]"/>
    <x:tableColumn id="5" name="Mass [kg]"/>
    <x:tableColumn id="6" name="Assembly grouping"/>
    <x:tableColumn id="7" name="Material composition"/>
    <x:tableColumn id="8" name="Components from Engineering_Data"/>
    <x:tableColumn id="9" name="Fastener allocation"/>
    <x:tableColumn id="10" name="Inertial status"/>
    <x:tableColumn id="11" name="URDF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64f17a11314d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d9257a108348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504bc9cdf148d9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3" hidden="0" customWidth="1"/>
    <x:col min="4" max="4" width="25" hidden="0" customWidth="1"/>
    <x:col min="5" max="5" width="11" hidden="0" customWidth="1"/>
    <x:col min="6" max="6" width="10" hidden="0" customWidth="1"/>
    <x:col min="7" max="7" width="7" hidden="0" customWidth="1"/>
    <x:col min="8" max="8" width="8" hidden="0" customWidth="1"/>
    <x:col min="9" max="9" width="8" hidden="0" customWidth="1"/>
    <x:col min="10" max="10" width="8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13" hidden="0" customWidth="1"/>
    <x:col min="21" max="21" width="11" hidden="0" customWidth="1"/>
    <x:col min="22" max="22" width="13" hidden="0" customWidth="1"/>
    <x:col min="23" max="23" width="13" hidden="0" customWidth="1"/>
    <x:col min="24" max="24" width="13" hidden="0" customWidth="1"/>
  </x:cols>
  <x:sheetData>
    <x:row r="1" ht="28" customHeight="1">
      <x:c r="A1" s="5" t="str">
        <x:v>MATDOG — matt_robodog_rev00 | Tabella cinematica canonica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REV00 — Kinematics lower limit -92°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7" ht="34" customHeight="1">
      <x:c r="A7" s="36" t="str">
        <x:v>Leg</x:v>
      </x:c>
      <x:c r="B7" s="36" t="str">
        <x:v>Joint</x:v>
      </x:c>
      <x:c r="C7" s="36" t="str">
        <x:v>Parent link</x:v>
      </x:c>
      <x:c r="D7" s="36" t="str">
        <x:v>Child link</x:v>
      </x:c>
      <x:c r="E7" s="36" t="str">
        <x:v>Type</x:v>
      </x:c>
      <x:c r="F7" s="36" t="str">
        <x:v>Motor ID</x:v>
      </x:c>
      <x:c r="G7" s="36" t="str">
        <x:v>Dir</x:v>
      </x:c>
      <x:c r="H7" s="36" t="str">
        <x:v>Axis X</x:v>
      </x:c>
      <x:c r="I7" s="36" t="str">
        <x:v>Axis Y</x:v>
      </x:c>
      <x:c r="J7" s="36" t="str">
        <x:v>Axis Z</x:v>
      </x:c>
      <x:c r="K7" s="36" t="str">
        <x:v>X parent
[mm]</x:v>
      </x:c>
      <x:c r="L7" s="36" t="str">
        <x:v>Y parent
[mm]</x:v>
      </x:c>
      <x:c r="M7" s="36" t="str">
        <x:v>Z parent
[mm]</x:v>
      </x:c>
      <x:c r="N7" s="36" t="str">
        <x:v>θ min
[deg]</x:v>
      </x:c>
      <x:c r="O7" s="36" t="str">
        <x:v>θ max
[deg]</x:v>
      </x:c>
      <x:c r="P7" s="36" t="str">
        <x:v>X parent
[m]</x:v>
      </x:c>
      <x:c r="Q7" s="36" t="str">
        <x:v>Y parent
[m]</x:v>
      </x:c>
      <x:c r="R7" s="36" t="str">
        <x:v>Z parent
[m]</x:v>
      </x:c>
      <x:c r="S7" s="36" t="str">
        <x:v>θ min
[rad]</x:v>
      </x:c>
      <x:c r="T7" s="36" t="str">
        <x:v>θ max
[rad]</x:v>
      </x:c>
      <x:c r="U7" s="36" t="str">
        <x:v>Speed
[rpm]</x:v>
      </x:c>
      <x:c r="V7" s="36" t="str">
        <x:v>Speed
[rad/s]</x:v>
      </x:c>
      <x:c r="W7" s="36" t="str">
        <x:v>Torque
[kg·cm]</x:v>
      </x:c>
      <x:c r="X7" s="36" t="str">
        <x:v>Effort
[N·m]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 t="n">
        <x:v>46.5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 t="n">
        <x:f>IF($E8="Fixed","",$M8/1000)</x:f>
        <x:v>0.0465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64" t="n">
        <x:v>29</x:v>
      </x:c>
      <x:c r="V8" s="76" t="n">
        <x:f>IF($E8="Fixed","",$U8*2*PI()/60)</x:f>
        <x:v>3.0368728984701336</x:v>
      </x:c>
      <x:c r="W8" s="64" t="n">
        <x:v>9.2</x:v>
      </x:c>
      <x:c r="X8" s="76" t="n">
        <x:f>IF($E8="Fixed","",$W8*0.09807)</x:f>
        <x:v>0.9022439999999999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64" t="n">
        <x:v>29</x:v>
      </x:c>
      <x:c r="V9" s="76" t="n">
        <x:f>IF($E9="Fixed","",$U9*2*PI()/60)</x:f>
        <x:v>3.0368728984701336</x:v>
      </x:c>
      <x:c r="W9" s="64" t="n">
        <x:v>9.2</x:v>
      </x:c>
      <x:c r="X9" s="76" t="n">
        <x:f>IF($E9="Fixed","",$W9*0.09807)</x:f>
        <x:v>0.9022439999999999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64" t="n">
        <x:v>29</x:v>
      </x:c>
      <x:c r="V10" s="76" t="n">
        <x:f>IF($E10="Fixed","",$U10*2*PI()/60)</x:f>
        <x:v>3.0368728984701336</x:v>
      </x:c>
      <x:c r="W10" s="64" t="n">
        <x:v>9.2</x:v>
      </x:c>
      <x:c r="X10" s="76" t="n">
        <x:f>IF($E10="Fixed","",$W10*0.09807)</x:f>
        <x:v>0.9022439999999999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65"/>
      <x:c r="V11" s="78" t="str">
        <x:f>IF($E11="Fixed","",$U11*2*PI()/60)</x:f>
      </x:c>
      <x:c r="W11" s="65"/>
      <x:c r="X11" s="78" t="str">
        <x:f>IF($E11="Fixed","",$W11*0.09807)</x:f>
      </x:c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 t="n">
        <x:v>46.5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 t="n">
        <x:f>IF($E12="Fixed","",$M12/1000)</x:f>
        <x:v>0.0465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64" t="n">
        <x:v>29</x:v>
      </x:c>
      <x:c r="V12" s="76" t="n">
        <x:f>IF($E12="Fixed","",$U12*2*PI()/60)</x:f>
        <x:v>3.0368728984701336</x:v>
      </x:c>
      <x:c r="W12" s="64" t="n">
        <x:v>9.2</x:v>
      </x:c>
      <x:c r="X12" s="76" t="n">
        <x:f>IF($E12="Fixed","",$W12*0.09807)</x:f>
        <x:v>0.9022439999999999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64" t="n">
        <x:v>29</x:v>
      </x:c>
      <x:c r="V13" s="76" t="n">
        <x:f>IF($E13="Fixed","",$U13*2*PI()/60)</x:f>
        <x:v>3.0368728984701336</x:v>
      </x:c>
      <x:c r="W13" s="64" t="n">
        <x:v>9.2</x:v>
      </x:c>
      <x:c r="X13" s="76" t="n">
        <x:f>IF($E13="Fixed","",$W13*0.09807)</x:f>
        <x:v>0.9022439999999999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64" t="n">
        <x:v>29</x:v>
      </x:c>
      <x:c r="V14" s="76" t="n">
        <x:f>IF($E14="Fixed","",$U14*2*PI()/60)</x:f>
        <x:v>3.0368728984701336</x:v>
      </x:c>
      <x:c r="W14" s="64" t="n">
        <x:v>9.2</x:v>
      </x:c>
      <x:c r="X14" s="76" t="n">
        <x:f>IF($E14="Fixed","",$W14*0.09807)</x:f>
        <x:v>0.9022439999999999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65"/>
      <x:c r="V15" s="78" t="str">
        <x:f>IF($E15="Fixed","",$U15*2*PI()/60)</x:f>
      </x:c>
      <x:c r="W15" s="65"/>
      <x:c r="X15" s="78" t="str">
        <x:f>IF($E15="Fixed","",$W15*0.09807)</x:f>
      </x:c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 t="n">
        <x:v>26.5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 t="n">
        <x:f>IF($E16="Fixed","",$M16/1000)</x:f>
        <x:v>0.0265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64" t="n">
        <x:v>29</x:v>
      </x:c>
      <x:c r="V16" s="76" t="n">
        <x:f>IF($E16="Fixed","",$U16*2*PI()/60)</x:f>
        <x:v>3.0368728984701336</x:v>
      </x:c>
      <x:c r="W16" s="64" t="n">
        <x:v>9.2</x:v>
      </x:c>
      <x:c r="X16" s="76" t="n">
        <x:f>IF($E16="Fixed","",$W16*0.09807)</x:f>
        <x:v>0.9022439999999999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64" t="n">
        <x:v>29</x:v>
      </x:c>
      <x:c r="V17" s="76" t="n">
        <x:f>IF($E17="Fixed","",$U17*2*PI()/60)</x:f>
        <x:v>3.0368728984701336</x:v>
      </x:c>
      <x:c r="W17" s="64" t="n">
        <x:v>9.2</x:v>
      </x:c>
      <x:c r="X17" s="76" t="n">
        <x:f>IF($E17="Fixed","",$W17*0.09807)</x:f>
        <x:v>0.9022439999999999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64" t="n">
        <x:v>29</x:v>
      </x:c>
      <x:c r="V18" s="76" t="n">
        <x:f>IF($E18="Fixed","",$U18*2*PI()/60)</x:f>
        <x:v>3.0368728984701336</x:v>
      </x:c>
      <x:c r="W18" s="64" t="n">
        <x:v>9.2</x:v>
      </x:c>
      <x:c r="X18" s="76" t="n">
        <x:f>IF($E18="Fixed","",$W18*0.09807)</x:f>
        <x:v>0.9022439999999999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65"/>
      <x:c r="V19" s="78" t="str">
        <x:f>IF($E19="Fixed","",$U19*2*PI()/60)</x:f>
      </x:c>
      <x:c r="W19" s="65"/>
      <x:c r="X19" s="78" t="str">
        <x:f>IF($E19="Fixed","",$W19*0.09807)</x:f>
      </x:c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 t="n">
        <x:v>26.5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 t="n">
        <x:f>IF($E20="Fixed","",$M20/1000)</x:f>
        <x:v>0.0265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64" t="n">
        <x:v>29</x:v>
      </x:c>
      <x:c r="V20" s="76" t="n">
        <x:f>IF($E20="Fixed","",$U20*2*PI()/60)</x:f>
        <x:v>3.0368728984701336</x:v>
      </x:c>
      <x:c r="W20" s="64" t="n">
        <x:v>9.2</x:v>
      </x:c>
      <x:c r="X20" s="76" t="n">
        <x:f>IF($E20="Fixed","",$W20*0.09807)</x:f>
        <x:v>0.9022439999999999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64" t="n">
        <x:v>29</x:v>
      </x:c>
      <x:c r="V21" s="76" t="n">
        <x:f>IF($E21="Fixed","",$U21*2*PI()/60)</x:f>
        <x:v>3.0368728984701336</x:v>
      </x:c>
      <x:c r="W21" s="64" t="n">
        <x:v>9.2</x:v>
      </x:c>
      <x:c r="X21" s="76" t="n">
        <x:f>IF($E21="Fixed","",$W21*0.09807)</x:f>
        <x:v>0.9022439999999999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64" t="n">
        <x:v>29</x:v>
      </x:c>
      <x:c r="V22" s="76" t="n">
        <x:f>IF($E22="Fixed","",$U22*2*PI()/60)</x:f>
        <x:v>3.0368728984701336</x:v>
      </x:c>
      <x:c r="W22" s="64" t="n">
        <x:v>9.2</x:v>
      </x:c>
      <x:c r="X22" s="76" t="n">
        <x:f>IF($E22="Fixed","",$W22*0.09807)</x:f>
        <x:v>0.9022439999999999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65"/>
      <x:c r="V23" s="78" t="str">
        <x:f>IF($E23="Fixed","",$U23*2*PI()/60)</x:f>
      </x:c>
      <x:c r="W23" s="65"/>
      <x:c r="X23" s="78" t="str">
        <x:f>IF($E23="Fixed","",$W23*0.09807)</x:f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ec64f17a11314d0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0" hidden="0" customWidth="1"/>
    <x:col min="17" max="17" width="11" hidden="0" customWidth="1"/>
    <x:col min="18" max="18" width="42" hidden="0" customWidth="1"/>
    <x:col min="19" max="19" width="38" hidden="0" customWidth="1"/>
    <x:col min="20" max="20" width="33" hidden="0" customWidth="1"/>
    <x:col min="21" max="21" width="16" hidden="0" customWidth="1"/>
    <x:col min="22" max="22" width="16" hidden="0" customWidth="1"/>
    <x:col min="23" max="23" width="31" hidden="0" customWidth="1"/>
  </x:cols>
  <x:sheetData>
    <x:row r="1" ht="24" customHeight="1">
      <x:c r="A1" s="139" t="str">
        <x:v>MATDOG — Trasformazioni mesh Visual + Collision + proprietà di massa</x:v>
      </x:c>
      <x:c r="B1" s="139"/>
      <x:c r="C1" s="139"/>
      <x:c r="D1" s="139"/>
      <x:c r="E1" s="139"/>
      <x:c r="F1" s="139"/>
      <x:c r="G1" s="139"/>
      <x:c r="H1" s="139"/>
      <x:c r="I1" s="139"/>
      <x:c r="J1" s="139"/>
      <x:c r="K1" s="139"/>
      <x:c r="L1" s="139"/>
      <x:c r="M1" s="139"/>
      <x:c r="N1" s="139"/>
      <x:c r="O1" s="139"/>
      <x:c r="P1" s="139"/>
      <x:c r="Q1" s="139"/>
      <x:c r="R1" s="139"/>
      <x:c r="S1" s="139"/>
      <x:c r="T1" s="139"/>
      <x:c r="U1" s="139"/>
      <x:c r="V1" s="139"/>
      <x:c r="W1" s="139"/>
    </x:row>
    <x:row r="2" ht="34" customHeight="1">
      <x:c r="A2" s="144" t="str">
        <x:v>Masse reali da Engineering_Data.xlsx / Weight. Trasformazioni audit: tutte le mesh sono zero eccetto le 4 upper leg, che usano la forma equivalente minima xyz = 0,0,-0.090 m · rpy = 0°,180°,0°.</x:v>
      </x:c>
      <x:c r="B2" s="144"/>
      <x:c r="C2" s="144"/>
      <x:c r="D2" s="144"/>
      <x:c r="E2" s="144"/>
      <x:c r="F2" s="144"/>
      <x:c r="G2" s="144"/>
      <x:c r="H2" s="144"/>
      <x:c r="I2" s="144"/>
      <x:c r="J2" s="144"/>
      <x:c r="K2" s="144"/>
      <x:c r="L2" s="144"/>
      <x:c r="M2" s="144"/>
      <x:c r="N2" s="144"/>
      <x:c r="O2" s="144"/>
      <x:c r="P2" s="144"/>
      <x:c r="Q2" s="144"/>
      <x:c r="R2" s="144"/>
      <x:c r="S2" s="144"/>
      <x:c r="T2" s="144"/>
      <x:c r="U2" s="144"/>
      <x:c r="V2" s="144"/>
      <x:c r="W2" s="144"/>
    </x:row>
    <x:row r="5" ht="34" customHeight="1">
      <x:c r="A5" s="36" t="str">
        <x:v>Link</x:v>
      </x:c>
      <x:c r="B5" s="36" t="str">
        <x:v>Visual mesh</x:v>
      </x:c>
      <x:c r="C5" s="36" t="str">
        <x:v>Collision mesh</x:v>
      </x:c>
      <x:c r="D5" s="36" t="str">
        <x:v>Visual X
[m]</x:v>
      </x:c>
      <x:c r="E5" s="36" t="str">
        <x:v>Visual Y
[m]</x:v>
      </x:c>
      <x:c r="F5" s="36" t="str">
        <x:v>Visual Z
[m]</x:v>
      </x:c>
      <x:c r="G5" s="36" t="str">
        <x:v>Visual R
[deg]</x:v>
      </x:c>
      <x:c r="H5" s="36" t="str">
        <x:v>Visual P
[deg]</x:v>
      </x:c>
      <x:c r="I5" s="36" t="str">
        <x:v>Visual Yaw
[deg]</x:v>
      </x:c>
      <x:c r="J5" s="36" t="str">
        <x:v>Collision X
[m]</x:v>
      </x:c>
      <x:c r="K5" s="36" t="str">
        <x:v>Collision Y
[m]</x:v>
      </x:c>
      <x:c r="L5" s="36" t="str">
        <x:v>Collision Z
[m]</x:v>
      </x:c>
      <x:c r="M5" s="36" t="str">
        <x:v>Collision R
[deg]</x:v>
      </x:c>
      <x:c r="N5" s="36" t="str">
        <x:v>Collision P
[deg]</x:v>
      </x:c>
      <x:c r="O5" s="36" t="str">
        <x:v>Collision Yaw
[deg]</x:v>
      </x:c>
      <x:c r="P5" s="157" t="str">
        <x:v>Mass
[g]</x:v>
      </x:c>
      <x:c r="Q5" s="158" t="str">
        <x:v>Mass
[kg]</x:v>
      </x:c>
      <x:c r="R5" s="158" t="str">
        <x:v>Engineering material / composition</x:v>
      </x:c>
      <x:c r="S5" s="158" t="str">
        <x:v>Weight roll-up components</x:v>
      </x:c>
      <x:c r="T5" s="158" t="str">
        <x:v>Fastener allocation</x:v>
      </x:c>
      <x:c r="U5" s="158" t="str">
        <x:v>CoM status</x:v>
      </x:c>
      <x:c r="V5" s="158" t="str">
        <x:v>Inertia status</x:v>
      </x:c>
      <x:c r="W5" s="159" t="str">
        <x:v>URDF metadata</x:v>
      </x:c>
    </x:row>
    <x:row r="6" ht="19" customHeight="1">
      <x:c r="A6" s="43" t="str">
        <x:v>base_link</x:v>
      </x:c>
      <x:c r="B6" s="43" t="str">
        <x:v>meshes/base_link.stl</x:v>
      </x:c>
      <x:c r="C6" s="43" t="str">
        <x:v>meshes/base_link.stl</x:v>
      </x:c>
      <x:c r="D6" s="70" t="n">
        <x:v>0</x:v>
      </x:c>
      <x:c r="E6" s="70" t="n">
        <x:v>0</x:v>
      </x:c>
      <x:c r="F6" s="70" t="n">
        <x:v>0</x:v>
      </x:c>
      <x:c r="G6" s="64" t="n">
        <x:v>0</x:v>
      </x:c>
      <x:c r="H6" s="64" t="n">
        <x:v>0</x:v>
      </x:c>
      <x:c r="I6" s="64" t="n">
        <x:v>0</x:v>
      </x:c>
      <x:c r="J6" s="70" t="n">
        <x:v>0</x:v>
      </x:c>
      <x:c r="K6" s="70" t="n">
        <x:v>0</x:v>
      </x:c>
      <x:c r="L6" s="70" t="n">
        <x:v>0</x:v>
      </x:c>
      <x:c r="M6" s="64" t="n">
        <x:v>0</x:v>
      </x:c>
      <x:c r="N6" s="64" t="n">
        <x:v>0</x:v>
      </x:c>
      <x:c r="O6" s="64" t="n">
        <x:v>0</x:v>
      </x:c>
      <x:c r="P6" s="168" t="n">
        <x:v>285</x:v>
      </x:c>
      <x:c r="Q6" s="169" t="n">
        <x:v>0.285</x:v>
      </x:c>
      <x:c r="R6" s="170" t="str">
        <x:v>PPA+CF (283 g); Steel fasteners (2 g)</x:v>
      </x:c>
      <x:c r="S6" s="170" t="str">
        <x:v>Lower_Chassis 283 g + Fasteners 2 g</x:v>
      </x:c>
      <x:c r="T6" s="170" t="str">
        <x:v>2 g assigned directly to base_link</x:v>
      </x:c>
      <x:c r="U6" s="170" t="str">
        <x:v>Pending CAD</x:v>
      </x:c>
      <x:c r="V6" s="170" t="str">
        <x:v>Pending CAD</x:v>
      </x:c>
      <x:c r="W6" s="171" t="str">
        <x:v>Comment only; inertial block deferred</x:v>
      </x:c>
    </x:row>
    <x:row r="7" ht="19" customHeight="1">
      <x:c r="A7" s="43" t="str">
        <x:v>lf_hip_link</x:v>
      </x:c>
      <x:c r="B7" s="43" t="str">
        <x:v>meshes/lf_hip_link.stl</x:v>
      </x:c>
      <x:c r="C7" s="43" t="str">
        <x:v>meshes/lf_hip_link.stl</x:v>
      </x:c>
      <x:c r="D7" s="70" t="n">
        <x:v>0</x:v>
      </x:c>
      <x:c r="E7" s="70" t="n">
        <x:v>0</x:v>
      </x:c>
      <x:c r="F7" s="70" t="n">
        <x:v>0</x:v>
      </x:c>
      <x:c r="G7" s="64" t="n">
        <x:v>0</x:v>
      </x:c>
      <x:c r="H7" s="64" t="n">
        <x:v>0</x:v>
      </x:c>
      <x:c r="I7" s="64" t="n">
        <x:v>0</x:v>
      </x:c>
      <x:c r="J7" s="70" t="n">
        <x:v>0</x:v>
      </x:c>
      <x:c r="K7" s="70" t="n">
        <x:v>0</x:v>
      </x:c>
      <x:c r="L7" s="70" t="n">
        <x:v>0</x:v>
      </x:c>
      <x:c r="M7" s="64" t="n">
        <x:v>0</x:v>
      </x:c>
      <x:c r="N7" s="64" t="n">
        <x:v>0</x:v>
      </x:c>
      <x:c r="O7" s="64" t="n">
        <x:v>0</x:v>
      </x:c>
      <x:c r="P7" s="168" t="n">
        <x:v>97</x:v>
      </x:c>
      <x:c r="Q7" s="169" t="n">
        <x:v>0.097</x:v>
      </x:c>
      <x:c r="R7" s="170" t="str">
        <x:v>Feetech ST3215 actuator assembly (61 g; internal material not specified); PPA+CF (32 g); Steel fasteners (4 g)</x:v>
      </x:c>
      <x:c r="S7" s="170" t="str">
        <x:v>ACT_FL_Shoulder + Shoulder_Joint_L + leg fasteners</x:v>
      </x:c>
      <x:c r="T7" s="170" t="str">
        <x:v>4 g leg fasteners provisionally allocated to hip_link</x:v>
      </x:c>
      <x:c r="U7" s="170" t="str">
        <x:v>Pending CAD</x:v>
      </x:c>
      <x:c r="V7" s="170" t="str">
        <x:v>Pending CAD</x:v>
      </x:c>
      <x:c r="W7" s="171" t="str">
        <x:v>Comment only; inertial block deferred</x:v>
      </x:c>
    </x:row>
    <x:row r="8" ht="19" customHeight="1">
      <x:c r="A8" s="82" t="str">
        <x:v>lf_upper_leg_link</x:v>
      </x:c>
      <x:c r="B8" s="82" t="str">
        <x:v>meshes/lf_upper_leg_link.stl</x:v>
      </x:c>
      <x:c r="C8" s="82" t="str">
        <x:v>meshes/lf_upper_leg_link.stl</x:v>
      </x:c>
      <x:c r="D8" s="84" t="n">
        <x:v>0</x:v>
      </x:c>
      <x:c r="E8" s="84" t="n">
        <x:v>0</x:v>
      </x:c>
      <x:c r="F8" s="84" t="n">
        <x:v>-0.09</x:v>
      </x:c>
      <x:c r="G8" s="86" t="n">
        <x:v>0</x:v>
      </x:c>
      <x:c r="H8" s="86" t="n">
        <x:v>180</x:v>
      </x:c>
      <x:c r="I8" s="86" t="n">
        <x:v>0</x:v>
      </x:c>
      <x:c r="J8" s="84" t="n">
        <x:v>0</x:v>
      </x:c>
      <x:c r="K8" s="84" t="n">
        <x:v>0</x:v>
      </x:c>
      <x:c r="L8" s="84" t="n">
        <x:v>-0.09</x:v>
      </x:c>
      <x:c r="M8" s="86" t="n">
        <x:v>0</x:v>
      </x:c>
      <x:c r="N8" s="86" t="n">
        <x:v>180</x:v>
      </x:c>
      <x:c r="O8" s="86" t="n">
        <x:v>0</x:v>
      </x:c>
      <x:c r="P8" s="168" t="n">
        <x:v>98</x:v>
      </x:c>
      <x:c r="Q8" s="169" t="n">
        <x:v>0.098</x:v>
      </x:c>
      <x:c r="R8" s="170" t="str">
        <x:v>Feetech ST3215 actuator assembly (61 g; internal material not specified); PPA+CF (32 g); ABS ESD cover (5 g)</x:v>
      </x:c>
      <x:c r="S8" s="170" t="str">
        <x:v>ACT_FL_UpperLeg + Upper_Leg + Upper_Leg_Cover</x:v>
      </x:c>
      <x:c r="T8" s="170" t="str">
        <x:v>No separately measured fasteners allocated</x:v>
      </x:c>
      <x:c r="U8" s="170" t="str">
        <x:v>Pending CAD</x:v>
      </x:c>
      <x:c r="V8" s="170" t="str">
        <x:v>Pending CAD</x:v>
      </x:c>
      <x:c r="W8" s="171" t="str">
        <x:v>Comment only; inertial block deferred</x:v>
      </x:c>
    </x:row>
    <x:row r="9" ht="19" customHeight="1">
      <x:c r="A9" s="43" t="str">
        <x:v>lf_lower_leg_link</x:v>
      </x:c>
      <x:c r="B9" s="43" t="str">
        <x:v>meshes/lf_lower_leg_link.stl</x:v>
      </x:c>
      <x:c r="C9" s="43" t="str">
        <x:v>meshes/lf_lower_leg_link.stl</x:v>
      </x:c>
      <x:c r="D9" s="70" t="n">
        <x:v>0</x:v>
      </x:c>
      <x:c r="E9" s="70" t="n">
        <x:v>0</x:v>
      </x:c>
      <x:c r="F9" s="70" t="n">
        <x:v>0</x:v>
      </x:c>
      <x:c r="G9" s="64" t="n">
        <x:v>0</x:v>
      </x:c>
      <x:c r="H9" s="64" t="n">
        <x:v>0</x:v>
      </x:c>
      <x:c r="I9" s="64" t="n">
        <x:v>0</x:v>
      </x:c>
      <x:c r="J9" s="70" t="n">
        <x:v>0</x:v>
      </x:c>
      <x:c r="K9" s="70" t="n">
        <x:v>0</x:v>
      </x:c>
      <x:c r="L9" s="70" t="n">
        <x:v>0</x:v>
      </x:c>
      <x:c r="M9" s="64" t="n">
        <x:v>0</x:v>
      </x:c>
      <x:c r="N9" s="64" t="n">
        <x:v>0</x:v>
      </x:c>
      <x:c r="O9" s="64" t="n">
        <x:v>0</x:v>
      </x:c>
      <x:c r="P9" s="168" t="n">
        <x:v>114.5</x:v>
      </x:c>
      <x:c r="Q9" s="169" t="n">
        <x:v>0.1145</x:v>
      </x:c>
      <x:c r="R9" s="170" t="str">
        <x:v>Feetech ST3215 actuator assembly (61 g; internal material not specified); PPA+CF (53.5 g)</x:v>
      </x:c>
      <x:c r="S9" s="170" t="str">
        <x:v>ACT_FL_LowerLeg + Lower_Leg_L</x:v>
      </x:c>
      <x:c r="T9" s="170" t="str">
        <x:v>No separately measured fasteners allocated</x:v>
      </x:c>
      <x:c r="U9" s="170" t="str">
        <x:v>Pending CAD</x:v>
      </x:c>
      <x:c r="V9" s="170" t="str">
        <x:v>Pending CAD</x:v>
      </x:c>
      <x:c r="W9" s="171" t="str">
        <x:v>Comment only; inertial block deferred</x:v>
      </x:c>
    </x:row>
    <x:row r="10" ht="19" customHeight="1">
      <x:c r="A10" s="43" t="str">
        <x:v>lf_foot_link</x:v>
      </x:c>
      <x:c r="B10" s="43" t="str">
        <x:v>meshes/lf_foot_link.stl</x:v>
      </x:c>
      <x:c r="C10" s="43" t="str">
        <x:v>meshes/lf_foot_link.stl</x:v>
      </x:c>
      <x:c r="D10" s="70" t="n">
        <x:v>0</x:v>
      </x:c>
      <x:c r="E10" s="70" t="n">
        <x:v>0</x:v>
      </x:c>
      <x:c r="F10" s="70" t="n">
        <x:v>0</x:v>
      </x:c>
      <x:c r="G10" s="64" t="n">
        <x:v>0</x:v>
      </x:c>
      <x:c r="H10" s="64" t="n">
        <x:v>0</x:v>
      </x:c>
      <x:c r="I10" s="64" t="n">
        <x:v>0</x:v>
      </x:c>
      <x:c r="J10" s="70" t="n">
        <x:v>0</x:v>
      </x:c>
      <x:c r="K10" s="70" t="n">
        <x:v>0</x:v>
      </x:c>
      <x:c r="L10" s="70" t="n">
        <x:v>0</x:v>
      </x:c>
      <x:c r="M10" s="64" t="n">
        <x:v>0</x:v>
      </x:c>
      <x:c r="N10" s="64" t="n">
        <x:v>0</x:v>
      </x:c>
      <x:c r="O10" s="64" t="n">
        <x:v>0</x:v>
      </x:c>
      <x:c r="P10" s="168" t="n">
        <x:v>6.5</x:v>
      </x:c>
      <x:c r="Q10" s="169" t="n">
        <x:v>0.0065</x:v>
      </x:c>
      <x:c r="R10" s="170" t="str">
        <x:v>TPU 95A (6.5 g)</x:v>
      </x:c>
      <x:c r="S10" s="170" t="str">
        <x:v>Rubber_Foot FL</x:v>
      </x:c>
      <x:c r="T10" s="170" t="str">
        <x:v>No separately measured fasteners allocated</x:v>
      </x:c>
      <x:c r="U10" s="170" t="str">
        <x:v>Pending CAD</x:v>
      </x:c>
      <x:c r="V10" s="170" t="str">
        <x:v>Pending CAD</x:v>
      </x:c>
      <x:c r="W10" s="171" t="str">
        <x:v>Comment only; inertial block deferred</x:v>
      </x:c>
    </x:row>
    <x:row r="11" ht="19" customHeight="1">
      <x:c r="A11" s="43" t="str">
        <x:v>rf_hip_link</x:v>
      </x:c>
      <x:c r="B11" s="43" t="str">
        <x:v>meshes/rf_hip_link.stl</x:v>
      </x:c>
      <x:c r="C11" s="43" t="str">
        <x:v>meshes/rf_hip_link.stl</x:v>
      </x:c>
      <x:c r="D11" s="70" t="n">
        <x:v>0</x:v>
      </x:c>
      <x:c r="E11" s="70" t="n">
        <x:v>0</x:v>
      </x:c>
      <x:c r="F11" s="70" t="n">
        <x:v>0</x:v>
      </x:c>
      <x:c r="G11" s="64" t="n">
        <x:v>0</x:v>
      </x:c>
      <x:c r="H11" s="64" t="n">
        <x:v>0</x:v>
      </x:c>
      <x:c r="I11" s="64" t="n">
        <x:v>0</x:v>
      </x:c>
      <x:c r="J11" s="70" t="n">
        <x:v>0</x:v>
      </x:c>
      <x:c r="K11" s="70" t="n">
        <x:v>0</x:v>
      </x:c>
      <x:c r="L11" s="70" t="n">
        <x:v>0</x:v>
      </x:c>
      <x:c r="M11" s="64" t="n">
        <x:v>0</x:v>
      </x:c>
      <x:c r="N11" s="64" t="n">
        <x:v>0</x:v>
      </x:c>
      <x:c r="O11" s="64" t="n">
        <x:v>0</x:v>
      </x:c>
      <x:c r="P11" s="168" t="n">
        <x:v>97</x:v>
      </x:c>
      <x:c r="Q11" s="169" t="n">
        <x:v>0.097</x:v>
      </x:c>
      <x:c r="R11" s="170" t="str">
        <x:v>Feetech ST3215 actuator assembly (61 g; internal material not specified); PPA+CF (32 g); Steel fasteners (4 g)</x:v>
      </x:c>
      <x:c r="S11" s="170" t="str">
        <x:v>ACT_FR_Shoulder + Shoulder_Joint_R + leg fasteners</x:v>
      </x:c>
      <x:c r="T11" s="170" t="str">
        <x:v>4 g leg fasteners provisionally allocated to hip_link</x:v>
      </x:c>
      <x:c r="U11" s="170" t="str">
        <x:v>Pending CAD</x:v>
      </x:c>
      <x:c r="V11" s="170" t="str">
        <x:v>Pending CAD</x:v>
      </x:c>
      <x:c r="W11" s="171" t="str">
        <x:v>Comment only; inertial block deferred</x:v>
      </x:c>
    </x:row>
    <x:row r="12" ht="19" customHeight="1">
      <x:c r="A12" s="82" t="str">
        <x:v>rf_upper_leg_link</x:v>
      </x:c>
      <x:c r="B12" s="82" t="str">
        <x:v>meshes/rf_upper_leg_link.stl</x:v>
      </x:c>
      <x:c r="C12" s="82" t="str">
        <x:v>meshes/rf_upper_leg_link.stl</x:v>
      </x:c>
      <x:c r="D12" s="84" t="n">
        <x:v>0</x:v>
      </x:c>
      <x:c r="E12" s="84" t="n">
        <x:v>0</x:v>
      </x:c>
      <x:c r="F12" s="84" t="n">
        <x:v>-0.09</x:v>
      </x:c>
      <x:c r="G12" s="86" t="n">
        <x:v>0</x:v>
      </x:c>
      <x:c r="H12" s="86" t="n">
        <x:v>180</x:v>
      </x:c>
      <x:c r="I12" s="86" t="n">
        <x:v>0</x:v>
      </x:c>
      <x:c r="J12" s="84" t="n">
        <x:v>0</x:v>
      </x:c>
      <x:c r="K12" s="84" t="n">
        <x:v>0</x:v>
      </x:c>
      <x:c r="L12" s="84" t="n">
        <x:v>-0.09</x:v>
      </x:c>
      <x:c r="M12" s="86" t="n">
        <x:v>0</x:v>
      </x:c>
      <x:c r="N12" s="86" t="n">
        <x:v>180</x:v>
      </x:c>
      <x:c r="O12" s="86" t="n">
        <x:v>0</x:v>
      </x:c>
      <x:c r="P12" s="168" t="n">
        <x:v>98</x:v>
      </x:c>
      <x:c r="Q12" s="169" t="n">
        <x:v>0.098</x:v>
      </x:c>
      <x:c r="R12" s="170" t="str">
        <x:v>Feetech ST3215 actuator assembly (61 g; internal material not specified); PPA+CF (32 g); ABS ESD cover (5 g)</x:v>
      </x:c>
      <x:c r="S12" s="170" t="str">
        <x:v>ACT_FR_UpperLeg + Upper_Leg + Upper_Leg_Cover</x:v>
      </x:c>
      <x:c r="T12" s="170" t="str">
        <x:v>No separately measured fasteners allocated</x:v>
      </x:c>
      <x:c r="U12" s="170" t="str">
        <x:v>Pending CAD</x:v>
      </x:c>
      <x:c r="V12" s="170" t="str">
        <x:v>Pending CAD</x:v>
      </x:c>
      <x:c r="W12" s="171" t="str">
        <x:v>Comment only; inertial block deferred</x:v>
      </x:c>
    </x:row>
    <x:row r="13" ht="19" customHeight="1">
      <x:c r="A13" s="43" t="str">
        <x:v>rf_lower_leg_link</x:v>
      </x:c>
      <x:c r="B13" s="43" t="str">
        <x:v>meshes/rf_lower_leg_link.stl</x:v>
      </x:c>
      <x:c r="C13" s="43" t="str">
        <x:v>meshes/rf_lower_leg_link.stl</x:v>
      </x:c>
      <x:c r="D13" s="70" t="n">
        <x:v>0</x:v>
      </x:c>
      <x:c r="E13" s="70" t="n">
        <x:v>0</x:v>
      </x:c>
      <x:c r="F13" s="70" t="n">
        <x:v>0</x:v>
      </x:c>
      <x:c r="G13" s="64" t="n">
        <x:v>0</x:v>
      </x:c>
      <x:c r="H13" s="64" t="n">
        <x:v>0</x:v>
      </x:c>
      <x:c r="I13" s="64" t="n">
        <x:v>0</x:v>
      </x:c>
      <x:c r="J13" s="70" t="n">
        <x:v>0</x:v>
      </x:c>
      <x:c r="K13" s="70" t="n">
        <x:v>0</x:v>
      </x:c>
      <x:c r="L13" s="70" t="n">
        <x:v>0</x:v>
      </x:c>
      <x:c r="M13" s="64" t="n">
        <x:v>0</x:v>
      </x:c>
      <x:c r="N13" s="64" t="n">
        <x:v>0</x:v>
      </x:c>
      <x:c r="O13" s="64" t="n">
        <x:v>0</x:v>
      </x:c>
      <x:c r="P13" s="168" t="n">
        <x:v>114.5</x:v>
      </x:c>
      <x:c r="Q13" s="169" t="n">
        <x:v>0.1145</x:v>
      </x:c>
      <x:c r="R13" s="170" t="str">
        <x:v>Feetech ST3215 actuator assembly (61 g; internal material not specified); PPA+CF (53.5 g)</x:v>
      </x:c>
      <x:c r="S13" s="170" t="str">
        <x:v>ACT_FR_LowerLeg + Lower_Leg_R</x:v>
      </x:c>
      <x:c r="T13" s="170" t="str">
        <x:v>No separately measured fasteners allocated</x:v>
      </x:c>
      <x:c r="U13" s="170" t="str">
        <x:v>Pending CAD</x:v>
      </x:c>
      <x:c r="V13" s="170" t="str">
        <x:v>Pending CAD</x:v>
      </x:c>
      <x:c r="W13" s="171" t="str">
        <x:v>Comment only; inertial block deferred</x:v>
      </x:c>
    </x:row>
    <x:row r="14" ht="19" customHeight="1">
      <x:c r="A14" s="43" t="str">
        <x:v>rf_foot_link</x:v>
      </x:c>
      <x:c r="B14" s="43" t="str">
        <x:v>meshes/rf_foot_link.stl</x:v>
      </x:c>
      <x:c r="C14" s="43" t="str">
        <x:v>meshes/rf_foot_link.stl</x:v>
      </x:c>
      <x:c r="D14" s="70" t="n">
        <x:v>0</x:v>
      </x:c>
      <x:c r="E14" s="70" t="n">
        <x:v>0</x:v>
      </x:c>
      <x:c r="F14" s="70" t="n">
        <x:v>0</x:v>
      </x:c>
      <x:c r="G14" s="64" t="n">
        <x:v>0</x:v>
      </x:c>
      <x:c r="H14" s="64" t="n">
        <x:v>0</x:v>
      </x:c>
      <x:c r="I14" s="64" t="n">
        <x:v>0</x:v>
      </x:c>
      <x:c r="J14" s="70" t="n">
        <x:v>0</x:v>
      </x:c>
      <x:c r="K14" s="70" t="n">
        <x:v>0</x:v>
      </x:c>
      <x:c r="L14" s="70" t="n">
        <x:v>0</x:v>
      </x:c>
      <x:c r="M14" s="64" t="n">
        <x:v>0</x:v>
      </x:c>
      <x:c r="N14" s="64" t="n">
        <x:v>0</x:v>
      </x:c>
      <x:c r="O14" s="64" t="n">
        <x:v>0</x:v>
      </x:c>
      <x:c r="P14" s="168" t="n">
        <x:v>6.5</x:v>
      </x:c>
      <x:c r="Q14" s="169" t="n">
        <x:v>0.0065</x:v>
      </x:c>
      <x:c r="R14" s="170" t="str">
        <x:v>TPU 95A (6.5 g)</x:v>
      </x:c>
      <x:c r="S14" s="170" t="str">
        <x:v>Rubber_Foot FR</x:v>
      </x:c>
      <x:c r="T14" s="170" t="str">
        <x:v>No separately measured fasteners allocated</x:v>
      </x:c>
      <x:c r="U14" s="170" t="str">
        <x:v>Pending CAD</x:v>
      </x:c>
      <x:c r="V14" s="170" t="str">
        <x:v>Pending CAD</x:v>
      </x:c>
      <x:c r="W14" s="171" t="str">
        <x:v>Comment only; inertial block deferred</x:v>
      </x:c>
    </x:row>
    <x:row r="15" ht="19" customHeight="1">
      <x:c r="A15" s="43" t="str">
        <x:v>rh_hip_link</x:v>
      </x:c>
      <x:c r="B15" s="43" t="str">
        <x:v>meshes/rh_hip_link.stl</x:v>
      </x:c>
      <x:c r="C15" s="43" t="str">
        <x:v>meshes/rh_hip_link.stl</x:v>
      </x:c>
      <x:c r="D15" s="70" t="n">
        <x:v>0</x:v>
      </x:c>
      <x:c r="E15" s="70" t="n">
        <x:v>0</x:v>
      </x:c>
      <x:c r="F15" s="70" t="n">
        <x:v>0</x:v>
      </x:c>
      <x:c r="G15" s="64" t="n">
        <x:v>0</x:v>
      </x:c>
      <x:c r="H15" s="64" t="n">
        <x:v>0</x:v>
      </x:c>
      <x:c r="I15" s="64" t="n">
        <x:v>0</x:v>
      </x:c>
      <x:c r="J15" s="70" t="n">
        <x:v>0</x:v>
      </x:c>
      <x:c r="K15" s="70" t="n">
        <x:v>0</x:v>
      </x:c>
      <x:c r="L15" s="70" t="n">
        <x:v>0</x:v>
      </x:c>
      <x:c r="M15" s="64" t="n">
        <x:v>0</x:v>
      </x:c>
      <x:c r="N15" s="64" t="n">
        <x:v>0</x:v>
      </x:c>
      <x:c r="O15" s="64" t="n">
        <x:v>0</x:v>
      </x:c>
      <x:c r="P15" s="168" t="n">
        <x:v>97</x:v>
      </x:c>
      <x:c r="Q15" s="169" t="n">
        <x:v>0.097</x:v>
      </x:c>
      <x:c r="R15" s="170" t="str">
        <x:v>Feetech ST3215 actuator assembly (61 g; internal material not specified); PPA+CF (32 g); Steel fasteners (4 g)</x:v>
      </x:c>
      <x:c r="S15" s="170" t="str">
        <x:v>ACT_RR_Shoulder + Shoulder_Joint_R + leg fasteners</x:v>
      </x:c>
      <x:c r="T15" s="170" t="str">
        <x:v>4 g leg fasteners provisionally allocated to hip_link</x:v>
      </x:c>
      <x:c r="U15" s="170" t="str">
        <x:v>Pending CAD</x:v>
      </x:c>
      <x:c r="V15" s="170" t="str">
        <x:v>Pending CAD</x:v>
      </x:c>
      <x:c r="W15" s="171" t="str">
        <x:v>Comment only; inertial block deferred</x:v>
      </x:c>
    </x:row>
    <x:row r="16" ht="19" customHeight="1">
      <x:c r="A16" s="82" t="str">
        <x:v>rh_upper_leg_link</x:v>
      </x:c>
      <x:c r="B16" s="82" t="str">
        <x:v>meshes/rh_upper_leg_link.stl</x:v>
      </x:c>
      <x:c r="C16" s="82" t="str">
        <x:v>meshes/rh_upper_leg_link.stl</x:v>
      </x:c>
      <x:c r="D16" s="84" t="n">
        <x:v>0</x:v>
      </x:c>
      <x:c r="E16" s="84" t="n">
        <x:v>0</x:v>
      </x:c>
      <x:c r="F16" s="84" t="n">
        <x:v>-0.09</x:v>
      </x:c>
      <x:c r="G16" s="86" t="n">
        <x:v>0</x:v>
      </x:c>
      <x:c r="H16" s="86" t="n">
        <x:v>180</x:v>
      </x:c>
      <x:c r="I16" s="86" t="n">
        <x:v>0</x:v>
      </x:c>
      <x:c r="J16" s="84" t="n">
        <x:v>0</x:v>
      </x:c>
      <x:c r="K16" s="84" t="n">
        <x:v>0</x:v>
      </x:c>
      <x:c r="L16" s="84" t="n">
        <x:v>-0.09</x:v>
      </x:c>
      <x:c r="M16" s="86" t="n">
        <x:v>0</x:v>
      </x:c>
      <x:c r="N16" s="86" t="n">
        <x:v>180</x:v>
      </x:c>
      <x:c r="O16" s="86" t="n">
        <x:v>0</x:v>
      </x:c>
      <x:c r="P16" s="168" t="n">
        <x:v>98</x:v>
      </x:c>
      <x:c r="Q16" s="169" t="n">
        <x:v>0.098</x:v>
      </x:c>
      <x:c r="R16" s="170" t="str">
        <x:v>Feetech ST3215 actuator assembly (61 g; internal material not specified); PPA+CF (32 g); ABS ESD cover (5 g)</x:v>
      </x:c>
      <x:c r="S16" s="170" t="str">
        <x:v>ACT_RR_UpperLeg + Upper_Leg + Upper_Leg_Cover</x:v>
      </x:c>
      <x:c r="T16" s="170" t="str">
        <x:v>No separately measured fasteners allocated</x:v>
      </x:c>
      <x:c r="U16" s="170" t="str">
        <x:v>Pending CAD</x:v>
      </x:c>
      <x:c r="V16" s="170" t="str">
        <x:v>Pending CAD</x:v>
      </x:c>
      <x:c r="W16" s="171" t="str">
        <x:v>Comment only; inertial block deferred</x:v>
      </x:c>
    </x:row>
    <x:row r="17" ht="19" customHeight="1">
      <x:c r="A17" s="43" t="str">
        <x:v>rh_lower_leg_link</x:v>
      </x:c>
      <x:c r="B17" s="43" t="str">
        <x:v>meshes/rh_lower_leg_link.stl</x:v>
      </x:c>
      <x:c r="C17" s="43" t="str">
        <x:v>meshes/rh_lower_leg_link.stl</x:v>
      </x:c>
      <x:c r="D17" s="70" t="n">
        <x:v>0</x:v>
      </x:c>
      <x:c r="E17" s="70" t="n">
        <x:v>0</x:v>
      </x:c>
      <x:c r="F17" s="70" t="n">
        <x:v>0</x:v>
      </x:c>
      <x:c r="G17" s="64" t="n">
        <x:v>0</x:v>
      </x:c>
      <x:c r="H17" s="64" t="n">
        <x:v>0</x:v>
      </x:c>
      <x:c r="I17" s="64" t="n">
        <x:v>0</x:v>
      </x:c>
      <x:c r="J17" s="70" t="n">
        <x:v>0</x:v>
      </x:c>
      <x:c r="K17" s="70" t="n">
        <x:v>0</x:v>
      </x:c>
      <x:c r="L17" s="70" t="n">
        <x:v>0</x:v>
      </x:c>
      <x:c r="M17" s="64" t="n">
        <x:v>0</x:v>
      </x:c>
      <x:c r="N17" s="64" t="n">
        <x:v>0</x:v>
      </x:c>
      <x:c r="O17" s="64" t="n">
        <x:v>0</x:v>
      </x:c>
      <x:c r="P17" s="168" t="n">
        <x:v>114.5</x:v>
      </x:c>
      <x:c r="Q17" s="169" t="n">
        <x:v>0.1145</x:v>
      </x:c>
      <x:c r="R17" s="170" t="str">
        <x:v>Feetech ST3215 actuator assembly (61 g; internal material not specified); PPA+CF (53.5 g)</x:v>
      </x:c>
      <x:c r="S17" s="170" t="str">
        <x:v>ACT_RR_LowerLeg + Lower_Leg_R</x:v>
      </x:c>
      <x:c r="T17" s="170" t="str">
        <x:v>No separately measured fasteners allocated</x:v>
      </x:c>
      <x:c r="U17" s="170" t="str">
        <x:v>Pending CAD</x:v>
      </x:c>
      <x:c r="V17" s="170" t="str">
        <x:v>Pending CAD</x:v>
      </x:c>
      <x:c r="W17" s="171" t="str">
        <x:v>Comment only; inertial block deferred</x:v>
      </x:c>
    </x:row>
    <x:row r="18" ht="19" customHeight="1">
      <x:c r="A18" s="43" t="str">
        <x:v>rh_foot_link</x:v>
      </x:c>
      <x:c r="B18" s="43" t="str">
        <x:v>meshes/rh_foot_link.stl</x:v>
      </x:c>
      <x:c r="C18" s="43" t="str">
        <x:v>meshes/rh_foot_link.stl</x:v>
      </x:c>
      <x:c r="D18" s="70" t="n">
        <x:v>0</x:v>
      </x:c>
      <x:c r="E18" s="70" t="n">
        <x:v>0</x:v>
      </x:c>
      <x:c r="F18" s="70" t="n">
        <x:v>0</x:v>
      </x:c>
      <x:c r="G18" s="64" t="n">
        <x:v>0</x:v>
      </x:c>
      <x:c r="H18" s="64" t="n">
        <x:v>0</x:v>
      </x:c>
      <x:c r="I18" s="64" t="n">
        <x:v>0</x:v>
      </x:c>
      <x:c r="J18" s="70" t="n">
        <x:v>0</x:v>
      </x:c>
      <x:c r="K18" s="70" t="n">
        <x:v>0</x:v>
      </x:c>
      <x:c r="L18" s="70" t="n">
        <x:v>0</x:v>
      </x:c>
      <x:c r="M18" s="64" t="n">
        <x:v>0</x:v>
      </x:c>
      <x:c r="N18" s="64" t="n">
        <x:v>0</x:v>
      </x:c>
      <x:c r="O18" s="64" t="n">
        <x:v>0</x:v>
      </x:c>
      <x:c r="P18" s="168" t="n">
        <x:v>6.5</x:v>
      </x:c>
      <x:c r="Q18" s="169" t="n">
        <x:v>0.0065</x:v>
      </x:c>
      <x:c r="R18" s="170" t="str">
        <x:v>TPU 95A (6.5 g)</x:v>
      </x:c>
      <x:c r="S18" s="170" t="str">
        <x:v>Rubber_Foot RR</x:v>
      </x:c>
      <x:c r="T18" s="170" t="str">
        <x:v>No separately measured fasteners allocated</x:v>
      </x:c>
      <x:c r="U18" s="170" t="str">
        <x:v>Pending CAD</x:v>
      </x:c>
      <x:c r="V18" s="170" t="str">
        <x:v>Pending CAD</x:v>
      </x:c>
      <x:c r="W18" s="171" t="str">
        <x:v>Comment only; inertial block deferred</x:v>
      </x:c>
    </x:row>
    <x:row r="19" ht="19" customHeight="1">
      <x:c r="A19" s="43" t="str">
        <x:v>lh_hip_link</x:v>
      </x:c>
      <x:c r="B19" s="43" t="str">
        <x:v>meshes/lh_hip_link.stl</x:v>
      </x:c>
      <x:c r="C19" s="43" t="str">
        <x:v>meshes/lh_hip_link.stl</x:v>
      </x:c>
      <x:c r="D19" s="70" t="n">
        <x:v>0</x:v>
      </x:c>
      <x:c r="E19" s="70" t="n">
        <x:v>0</x:v>
      </x:c>
      <x:c r="F19" s="70" t="n">
        <x:v>0</x:v>
      </x:c>
      <x:c r="G19" s="64" t="n">
        <x:v>0</x:v>
      </x:c>
      <x:c r="H19" s="64" t="n">
        <x:v>0</x:v>
      </x:c>
      <x:c r="I19" s="64" t="n">
        <x:v>0</x:v>
      </x:c>
      <x:c r="J19" s="70" t="n">
        <x:v>0</x:v>
      </x:c>
      <x:c r="K19" s="70" t="n">
        <x:v>0</x:v>
      </x:c>
      <x:c r="L19" s="70" t="n">
        <x:v>0</x:v>
      </x:c>
      <x:c r="M19" s="64" t="n">
        <x:v>0</x:v>
      </x:c>
      <x:c r="N19" s="64" t="n">
        <x:v>0</x:v>
      </x:c>
      <x:c r="O19" s="64" t="n">
        <x:v>0</x:v>
      </x:c>
      <x:c r="P19" s="168" t="n">
        <x:v>97</x:v>
      </x:c>
      <x:c r="Q19" s="169" t="n">
        <x:v>0.097</x:v>
      </x:c>
      <x:c r="R19" s="170" t="str">
        <x:v>Feetech ST3215 actuator assembly (61 g; internal material not specified); PPA+CF (32 g); Steel fasteners (4 g)</x:v>
      </x:c>
      <x:c r="S19" s="170" t="str">
        <x:v>ACT_RL_Shoulder + Shoulder_Joint_L + leg fasteners</x:v>
      </x:c>
      <x:c r="T19" s="170" t="str">
        <x:v>4 g leg fasteners provisionally allocated to hip_link</x:v>
      </x:c>
      <x:c r="U19" s="170" t="str">
        <x:v>Pending CAD</x:v>
      </x:c>
      <x:c r="V19" s="170" t="str">
        <x:v>Pending CAD</x:v>
      </x:c>
      <x:c r="W19" s="171" t="str">
        <x:v>Comment only; inertial block deferred</x:v>
      </x:c>
    </x:row>
    <x:row r="20" ht="19" customHeight="1">
      <x:c r="A20" s="82" t="str">
        <x:v>lh_upper_leg_link</x:v>
      </x:c>
      <x:c r="B20" s="82" t="str">
        <x:v>meshes/lh_upper_leg_link.stl</x:v>
      </x:c>
      <x:c r="C20" s="82" t="str">
        <x:v>meshes/lh_upper_leg_link.stl</x:v>
      </x:c>
      <x:c r="D20" s="84" t="n">
        <x:v>0</x:v>
      </x:c>
      <x:c r="E20" s="84" t="n">
        <x:v>0</x:v>
      </x:c>
      <x:c r="F20" s="84" t="n">
        <x:v>-0.09</x:v>
      </x:c>
      <x:c r="G20" s="86" t="n">
        <x:v>0</x:v>
      </x:c>
      <x:c r="H20" s="86" t="n">
        <x:v>180</x:v>
      </x:c>
      <x:c r="I20" s="86" t="n">
        <x:v>0</x:v>
      </x:c>
      <x:c r="J20" s="84" t="n">
        <x:v>0</x:v>
      </x:c>
      <x:c r="K20" s="84" t="n">
        <x:v>0</x:v>
      </x:c>
      <x:c r="L20" s="84" t="n">
        <x:v>-0.09</x:v>
      </x:c>
      <x:c r="M20" s="86" t="n">
        <x:v>0</x:v>
      </x:c>
      <x:c r="N20" s="86" t="n">
        <x:v>180</x:v>
      </x:c>
      <x:c r="O20" s="86" t="n">
        <x:v>0</x:v>
      </x:c>
      <x:c r="P20" s="168" t="n">
        <x:v>98</x:v>
      </x:c>
      <x:c r="Q20" s="169" t="n">
        <x:v>0.098</x:v>
      </x:c>
      <x:c r="R20" s="170" t="str">
        <x:v>Feetech ST3215 actuator assembly (61 g; internal material not specified); PPA+CF (32 g); ABS ESD cover (5 g)</x:v>
      </x:c>
      <x:c r="S20" s="170" t="str">
        <x:v>ACT_RL_UpperLeg + Upper_Leg + Upper_Leg_Cover</x:v>
      </x:c>
      <x:c r="T20" s="170" t="str">
        <x:v>No separately measured fasteners allocated</x:v>
      </x:c>
      <x:c r="U20" s="170" t="str">
        <x:v>Pending CAD</x:v>
      </x:c>
      <x:c r="V20" s="170" t="str">
        <x:v>Pending CAD</x:v>
      </x:c>
      <x:c r="W20" s="171" t="str">
        <x:v>Comment only; inertial block deferred</x:v>
      </x:c>
    </x:row>
    <x:row r="21" ht="19" customHeight="1">
      <x:c r="A21" s="43" t="str">
        <x:v>lh_lower_leg_link</x:v>
      </x:c>
      <x:c r="B21" s="43" t="str">
        <x:v>meshes/lh_lower_leg_link.stl</x:v>
      </x:c>
      <x:c r="C21" s="43" t="str">
        <x:v>meshes/lh_lower_leg_link.stl</x:v>
      </x:c>
      <x:c r="D21" s="70" t="n">
        <x:v>0</x:v>
      </x:c>
      <x:c r="E21" s="70" t="n">
        <x:v>0</x:v>
      </x:c>
      <x:c r="F21" s="70" t="n">
        <x:v>0</x:v>
      </x:c>
      <x:c r="G21" s="64" t="n">
        <x:v>0</x:v>
      </x:c>
      <x:c r="H21" s="64" t="n">
        <x:v>0</x:v>
      </x:c>
      <x:c r="I21" s="64" t="n">
        <x:v>0</x:v>
      </x:c>
      <x:c r="J21" s="70" t="n">
        <x:v>0</x:v>
      </x:c>
      <x:c r="K21" s="70" t="n">
        <x:v>0</x:v>
      </x:c>
      <x:c r="L21" s="70" t="n">
        <x:v>0</x:v>
      </x:c>
      <x:c r="M21" s="64" t="n">
        <x:v>0</x:v>
      </x:c>
      <x:c r="N21" s="64" t="n">
        <x:v>0</x:v>
      </x:c>
      <x:c r="O21" s="64" t="n">
        <x:v>0</x:v>
      </x:c>
      <x:c r="P21" s="168" t="n">
        <x:v>114.5</x:v>
      </x:c>
      <x:c r="Q21" s="169" t="n">
        <x:v>0.1145</x:v>
      </x:c>
      <x:c r="R21" s="170" t="str">
        <x:v>Feetech ST3215 actuator assembly (61 g; internal material not specified); PPA+CF (53.5 g)</x:v>
      </x:c>
      <x:c r="S21" s="170" t="str">
        <x:v>ACT_RL_LowerLeg + Lower_Leg_L</x:v>
      </x:c>
      <x:c r="T21" s="170" t="str">
        <x:v>No separately measured fasteners allocated</x:v>
      </x:c>
      <x:c r="U21" s="170" t="str">
        <x:v>Pending CAD</x:v>
      </x:c>
      <x:c r="V21" s="170" t="str">
        <x:v>Pending CAD</x:v>
      </x:c>
      <x:c r="W21" s="171" t="str">
        <x:v>Comment only; inertial block deferred</x:v>
      </x:c>
    </x:row>
    <x:row r="22" ht="19" customHeight="1">
      <x:c r="A22" s="43" t="str">
        <x:v>lh_foot_link</x:v>
      </x:c>
      <x:c r="B22" s="43" t="str">
        <x:v>meshes/lh_foot_link.stl</x:v>
      </x:c>
      <x:c r="C22" s="43" t="str">
        <x:v>meshes/lh_foot_link.stl</x:v>
      </x:c>
      <x:c r="D22" s="70" t="n">
        <x:v>0</x:v>
      </x:c>
      <x:c r="E22" s="70" t="n">
        <x:v>0</x:v>
      </x:c>
      <x:c r="F22" s="70" t="n">
        <x:v>0</x:v>
      </x:c>
      <x:c r="G22" s="64" t="n">
        <x:v>0</x:v>
      </x:c>
      <x:c r="H22" s="64" t="n">
        <x:v>0</x:v>
      </x:c>
      <x:c r="I22" s="64" t="n">
        <x:v>0</x:v>
      </x:c>
      <x:c r="J22" s="70" t="n">
        <x:v>0</x:v>
      </x:c>
      <x:c r="K22" s="70" t="n">
        <x:v>0</x:v>
      </x:c>
      <x:c r="L22" s="70" t="n">
        <x:v>0</x:v>
      </x:c>
      <x:c r="M22" s="64" t="n">
        <x:v>0</x:v>
      </x:c>
      <x:c r="N22" s="64" t="n">
        <x:v>0</x:v>
      </x:c>
      <x:c r="O22" s="64" t="n">
        <x:v>0</x:v>
      </x:c>
      <x:c r="P22" s="172" t="n">
        <x:v>6.5</x:v>
      </x:c>
      <x:c r="Q22" s="173" t="n">
        <x:v>0.0065</x:v>
      </x:c>
      <x:c r="R22" s="174" t="str">
        <x:v>TPU 95A (6.5 g)</x:v>
      </x:c>
      <x:c r="S22" s="174" t="str">
        <x:v>Rubber_Foot RL</x:v>
      </x:c>
      <x:c r="T22" s="174" t="str">
        <x:v>No separately measured fasteners allocated</x:v>
      </x:c>
      <x:c r="U22" s="174" t="str">
        <x:v>Pending CAD</x:v>
      </x:c>
      <x:c r="V22" s="174" t="str">
        <x:v>Pending CAD</x:v>
      </x:c>
      <x:c r="W22" s="175" t="str">
        <x:v>Comment only; inertial block deferred</x:v>
      </x:c>
    </x:row>
    <x:row r="24">
      <x:c r="A24" s="179" t="str">
        <x:v>Nota di allocazione: i 4 g di fasteners misurati per ciascuna zampa sono assegnati provvisoriamente all’hip link per preservare il totale reale di 316 g/leg. Questa è una convenzione di massa per link; i baricentri e le inerzie verranno poi sostituiti con proprietà CAD misurate.</x:v>
      </x:c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0"/>
      <x:c r="P24" s="180"/>
      <x:c r="Q24" s="180"/>
      <x:c r="R24" s="180"/>
      <x:c r="S24" s="180"/>
      <x:c r="T24" s="180"/>
      <x:c r="U24" s="180"/>
      <x:c r="V24" s="180"/>
      <x:c r="W24" s="181"/>
    </x:row>
    <x:row r="25">
      <x:c r="A25" s="182"/>
      <x:c r="B25" s="183"/>
      <x:c r="C25" s="183"/>
      <x:c r="D25" s="183"/>
      <x:c r="E25" s="183"/>
      <x:c r="F25" s="183"/>
      <x:c r="G25" s="183"/>
      <x:c r="H25" s="183"/>
      <x:c r="I25" s="183"/>
      <x:c r="J25" s="183"/>
      <x:c r="K25" s="183"/>
      <x:c r="L25" s="183"/>
      <x:c r="M25" s="183"/>
      <x:c r="N25" s="183"/>
      <x:c r="O25" s="183"/>
      <x:c r="P25" s="183"/>
      <x:c r="Q25" s="183"/>
      <x:c r="R25" s="183"/>
      <x:c r="S25" s="183"/>
      <x:c r="T25" s="183"/>
      <x:c r="U25" s="183"/>
      <x:c r="V25" s="183"/>
      <x:c r="W25" s="184"/>
    </x:row>
  </x:sheetData>
  <x:mergeCells>
    <x:mergeCell ref="A1:W1"/>
    <x:mergeCell ref="A2:W2"/>
    <x:mergeCell ref="A24:W25"/>
  </x:mergeCells>
  <x:pageMargins left="0.7" right="0.7" top="0.75" bottom="0.75" header="0.3" footer="0.3"/>
  <x:tableParts count="1">
    <x:tablePart xmlns:r="http://schemas.openxmlformats.org/officeDocument/2006/relationships" r:id="Rfed9257a1083482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7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MATDOG — Riferimento cinematica REV00</x:v>
      </x:c>
      <x:c r="B1" s="5"/>
      <x:c r="C1" s="5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matt_robodog_rev00_final_kinematics_mass_material_lowerlimit92_clean.urdf</x:v>
      </x:c>
    </x:row>
    <x:row r="6">
      <x:c r="A6" s="90" t="str">
        <x:v>Stato</x:v>
      </x:c>
      <x:c r="B6" s="95" t="str">
        <x:v>Baseline cinematica approvata</x:v>
      </x:c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Stessa mesh STL della visuale: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upper_leg_link (×4)</x:v>
      </x:c>
      <x:c r="C20" s="115" t="str">
        <x:v>Mesh visual + collision: xyz = 0, 0, -0.090 m · rpy = 0°, 180°, 0°. Forma equivalente minima del doppio ribaltamento verificato.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3" ht="20" customHeight="1">
      <x:c r="A23" s="245" t="str">
        <x:v>Proprietà fisiche REV00</x:v>
      </x:c>
      <x:c r="B23" s="246"/>
      <x:c r="C23" s="247"/>
    </x:row>
    <x:row r="24" ht="34" customHeight="1">
      <x:c r="A24" s="250" t="str">
        <x:v>1</x:v>
      </x:c>
      <x:c r="B24" s="162" t="str">
        <x:v>Masse per link</x:v>
      </x:c>
      <x:c r="C24" s="163" t="str">
        <x:v>Masse reali inserite nel foglio Link_Engineering e riportate in Mesh_Transforms. Totale URDF REV00: 1.549 kg.</x:v>
      </x:c>
    </x:row>
    <x:row r="25" ht="34" customHeight="1">
      <x:c r="A25" s="250" t="str">
        <x:v>2</x:v>
      </x:c>
      <x:c r="B25" s="162" t="str">
        <x:v>Materiali</x:v>
      </x:c>
      <x:c r="C25" s="163" t="str">
        <x:v>Composizione ingegneristica documentata per ogni link. Il materiale URDF standard è solo visivo; la composizione fisica è annotata nel file URDF come metadata commentata.</x:v>
      </x:c>
    </x:row>
    <x:row r="26" ht="34" customHeight="1">
      <x:c r="A26" s="250" t="str">
        <x:v>3</x:v>
      </x:c>
      <x:c r="B26" s="162" t="str">
        <x:v>Inertial</x:v>
      </x:c>
      <x:c r="C26" s="163" t="str">
        <x:v>Blocco &lt;inertial&gt; non ancora scritto: per una simulazione dinamica corretta servono baricentro e tensore d’inerzia estratti dal CAD.</x:v>
      </x:c>
    </x:row>
    <x:row r="27" ht="34" customHeight="1">
      <x:c r="A27" s="251" t="str">
        <x:v>4</x:v>
      </x:c>
      <x:c r="B27" s="166" t="str">
        <x:v>Hardware fuori modello</x:v>
      </x:c>
      <x:c r="C27" s="167" t="str">
        <x:v>Il motore yaw testa da 61 g è presente in Engineering_Data ma non fa parte dell’URDF REV00 a 17 link.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0" hidden="0" customWidth="1"/>
    <x:col min="3" max="3" width="30" hidden="0" customWidth="1"/>
    <x:col min="4" max="4" width="11" hidden="0" customWidth="1"/>
    <x:col min="5" max="5" width="12" hidden="0" customWidth="1"/>
    <x:col min="6" max="6" width="24" hidden="0" customWidth="1"/>
    <x:col min="7" max="7" width="54" hidden="0" customWidth="1"/>
    <x:col min="8" max="8" width="44" hidden="0" customWidth="1"/>
    <x:col min="9" max="9" width="34" hidden="0" customWidth="1"/>
    <x:col min="10" max="10" width="31" hidden="0" customWidth="1"/>
    <x:col min="11" max="11" width="31" hidden="0" customWidth="1"/>
  </x:cols>
  <x:sheetData>
    <x:row r="1" ht="24" customHeight="1">
      <x:c r="A1" s="139" t="str">
        <x:v>MATDOG — Proprietà fisiche per link URDF</x:v>
      </x:c>
      <x:c r="B1" s="139"/>
      <x:c r="C1" s="139"/>
      <x:c r="D1" s="139"/>
      <x:c r="E1" s="139"/>
      <x:c r="F1" s="139"/>
      <x:c r="G1" s="139"/>
      <x:c r="H1" s="139"/>
      <x:c r="I1" s="139"/>
      <x:c r="J1" s="139"/>
      <x:c r="K1" s="139"/>
    </x:row>
    <x:row r="2" ht="32" customHeight="1">
      <x:c r="A2" s="144" t="str">
        <x:v>Masse da Engineering_Data.xlsx / Weight. Ogni valore è assegnato al link URDF che rappresenta l’assieme CAD corrispondente. Le proprietà inerziali non sono ancora finali: richiedono baricentro e tensore dal CAD.</x:v>
      </x:c>
      <x:c r="B2" s="144"/>
      <x:c r="C2" s="144"/>
      <x:c r="D2" s="144"/>
      <x:c r="E2" s="144"/>
      <x:c r="F2" s="144"/>
      <x:c r="G2" s="144"/>
      <x:c r="H2" s="144"/>
      <x:c r="I2" s="144"/>
      <x:c r="J2" s="144"/>
      <x:c r="K2" s="144"/>
    </x:row>
    <x:row r="4">
      <x:c r="A4" s="157" t="str">
        <x:v>Link</x:v>
      </x:c>
      <x:c r="B4" s="158" t="str">
        <x:v>Zone</x:v>
      </x:c>
      <x:c r="C4" s="158" t="str">
        <x:v>URDF mesh</x:v>
      </x:c>
      <x:c r="D4" s="158" t="str">
        <x:v>Mass [g]</x:v>
      </x:c>
      <x:c r="E4" s="158" t="str">
        <x:v>Mass [kg]</x:v>
      </x:c>
      <x:c r="F4" s="158" t="str">
        <x:v>Assembly grouping</x:v>
      </x:c>
      <x:c r="G4" s="158" t="str">
        <x:v>Material composition</x:v>
      </x:c>
      <x:c r="H4" s="158" t="str">
        <x:v>Components from Engineering_Data</x:v>
      </x:c>
      <x:c r="I4" s="158" t="str">
        <x:v>Fastener allocation</x:v>
      </x:c>
      <x:c r="J4" s="158" t="str">
        <x:v>Inertial status</x:v>
      </x:c>
      <x:c r="K4" s="159" t="str">
        <x:v>URDF status</x:v>
      </x:c>
    </x:row>
    <x:row r="5">
      <x:c r="A5" s="203" t="str">
        <x:v>base_link</x:v>
      </x:c>
      <x:c r="B5" s="204" t="str">
        <x:v>Body</x:v>
      </x:c>
      <x:c r="C5" s="204" t="str">
        <x:v>meshes/base_link.stl</x:v>
      </x:c>
      <x:c r="D5" s="205" t="n">
        <x:v>285</x:v>
      </x:c>
      <x:c r="E5" s="206" t="n">
        <x:v>0.285</x:v>
      </x:c>
      <x:c r="F5" s="204" t="str">
        <x:v>Lower chassis assembly</x:v>
      </x:c>
      <x:c r="G5" s="204" t="str">
        <x:v>PPA+CF (283 g); Steel fasteners (2 g)</x:v>
      </x:c>
      <x:c r="H5" s="204" t="str">
        <x:v>Lower_Chassis 283 g + Fasteners 2 g</x:v>
      </x:c>
      <x:c r="I5" s="204" t="str">
        <x:v>2 g assigned directly to base_link</x:v>
      </x:c>
      <x:c r="J5" s="204" t="str">
        <x:v>Mass verified; CAD CoM and inertia tensor pending</x:v>
      </x:c>
      <x:c r="K5" s="207" t="str">
        <x:v>Engineering metadata comment inserted</x:v>
      </x:c>
    </x:row>
    <x:row r="6">
      <x:c r="A6" s="208" t="str">
        <x:v>lf_hip_link</x:v>
      </x:c>
      <x:c r="B6" s="209" t="str">
        <x:v>LF</x:v>
      </x:c>
      <x:c r="C6" s="209" t="str">
        <x:v>meshes/lf_hip_link.stl</x:v>
      </x:c>
      <x:c r="D6" s="210" t="n">
        <x:v>97</x:v>
      </x:c>
      <x:c r="E6" s="211" t="n">
        <x:v>0.097</x:v>
      </x:c>
      <x:c r="F6" s="209" t="str">
        <x:v>Hip / shoulder assembly</x:v>
      </x:c>
      <x:c r="G6" s="209" t="str">
        <x:v>Feetech ST3215 actuator assembly (61 g; internal material not specified); PPA+CF (32 g); Steel fasteners (4 g)</x:v>
      </x:c>
      <x:c r="H6" s="209" t="str">
        <x:v>ACT_FL_Shoulder + Shoulder_Joint_L + leg fasteners</x:v>
      </x:c>
      <x:c r="I6" s="209" t="str">
        <x:v>4 g leg fasteners provisionally allocated to hip_link</x:v>
      </x:c>
      <x:c r="J6" s="209" t="str">
        <x:v>Mass verified; CAD CoM and inertia tensor pending</x:v>
      </x:c>
      <x:c r="K6" s="212" t="str">
        <x:v>Engineering metadata comment inserted</x:v>
      </x:c>
    </x:row>
    <x:row r="7">
      <x:c r="A7" s="213" t="str">
        <x:v>lf_upper_leg_link</x:v>
      </x:c>
      <x:c r="B7" s="214" t="str">
        <x:v>LF</x:v>
      </x:c>
      <x:c r="C7" s="214" t="str">
        <x:v>meshes/lf_upper_leg_link.stl</x:v>
      </x:c>
      <x:c r="D7" s="215" t="n">
        <x:v>98</x:v>
      </x:c>
      <x:c r="E7" s="216" t="n">
        <x:v>0.098</x:v>
      </x:c>
      <x:c r="F7" s="214" t="str">
        <x:v>Upper-leg assembly</x:v>
      </x:c>
      <x:c r="G7" s="214" t="str">
        <x:v>Feetech ST3215 actuator assembly (61 g; internal material not specified); PPA+CF (32 g); ABS ESD cover (5 g)</x:v>
      </x:c>
      <x:c r="H7" s="214" t="str">
        <x:v>ACT_FL_UpperLeg + Upper_Leg + Upper_Leg_Cover</x:v>
      </x:c>
      <x:c r="I7" s="214" t="str">
        <x:v>No separately measured fasteners allocated</x:v>
      </x:c>
      <x:c r="J7" s="214" t="str">
        <x:v>Mass verified; CAD CoM and inertia tensor pending</x:v>
      </x:c>
      <x:c r="K7" s="217" t="str">
        <x:v>Engineering metadata comment inserted</x:v>
      </x:c>
    </x:row>
    <x:row r="8">
      <x:c r="A8" s="218" t="str">
        <x:v>lf_lower_leg_link</x:v>
      </x:c>
      <x:c r="B8" s="219" t="str">
        <x:v>LF</x:v>
      </x:c>
      <x:c r="C8" s="219" t="str">
        <x:v>meshes/lf_lower_leg_link.stl</x:v>
      </x:c>
      <x:c r="D8" s="220" t="n">
        <x:v>114.5</x:v>
      </x:c>
      <x:c r="E8" s="221" t="n">
        <x:v>0.1145</x:v>
      </x:c>
      <x:c r="F8" s="219" t="str">
        <x:v>Lower-leg assembly</x:v>
      </x:c>
      <x:c r="G8" s="219" t="str">
        <x:v>Feetech ST3215 actuator assembly (61 g; internal material not specified); PPA+CF (53.5 g)</x:v>
      </x:c>
      <x:c r="H8" s="219" t="str">
        <x:v>ACT_FL_LowerLeg + Lower_Leg_L</x:v>
      </x:c>
      <x:c r="I8" s="219" t="str">
        <x:v>No separately measured fasteners allocated</x:v>
      </x:c>
      <x:c r="J8" s="219" t="str">
        <x:v>Mass verified; CAD CoM and inertia tensor pending</x:v>
      </x:c>
      <x:c r="K8" s="222" t="str">
        <x:v>Engineering metadata comment inserted</x:v>
      </x:c>
    </x:row>
    <x:row r="9">
      <x:c r="A9" s="223" t="str">
        <x:v>lf_foot_link</x:v>
      </x:c>
      <x:c r="B9" s="224" t="str">
        <x:v>LF</x:v>
      </x:c>
      <x:c r="C9" s="224" t="str">
        <x:v>meshes/lf_foot_link.stl</x:v>
      </x:c>
      <x:c r="D9" s="225" t="n">
        <x:v>6.5</x:v>
      </x:c>
      <x:c r="E9" s="226" t="n">
        <x:v>0.0065</x:v>
      </x:c>
      <x:c r="F9" s="224" t="str">
        <x:v>Rubber foot</x:v>
      </x:c>
      <x:c r="G9" s="224" t="str">
        <x:v>TPU 95A (6.5 g)</x:v>
      </x:c>
      <x:c r="H9" s="224" t="str">
        <x:v>Rubber_Foot FL</x:v>
      </x:c>
      <x:c r="I9" s="224" t="str">
        <x:v>No separately measured fasteners allocated</x:v>
      </x:c>
      <x:c r="J9" s="224" t="str">
        <x:v>Mass verified; CAD CoM and inertia tensor pending</x:v>
      </x:c>
      <x:c r="K9" s="227" t="str">
        <x:v>Engineering metadata comment inserted</x:v>
      </x:c>
    </x:row>
    <x:row r="10">
      <x:c r="A10" s="208" t="str">
        <x:v>rf_hip_link</x:v>
      </x:c>
      <x:c r="B10" s="209" t="str">
        <x:v>RF</x:v>
      </x:c>
      <x:c r="C10" s="209" t="str">
        <x:v>meshes/rf_hip_link.stl</x:v>
      </x:c>
      <x:c r="D10" s="210" t="n">
        <x:v>97</x:v>
      </x:c>
      <x:c r="E10" s="211" t="n">
        <x:v>0.097</x:v>
      </x:c>
      <x:c r="F10" s="209" t="str">
        <x:v>Hip / shoulder assembly</x:v>
      </x:c>
      <x:c r="G10" s="209" t="str">
        <x:v>Feetech ST3215 actuator assembly (61 g; internal material not specified); PPA+CF (32 g); Steel fasteners (4 g)</x:v>
      </x:c>
      <x:c r="H10" s="209" t="str">
        <x:v>ACT_FR_Shoulder + Shoulder_Joint_R + leg fasteners</x:v>
      </x:c>
      <x:c r="I10" s="209" t="str">
        <x:v>4 g leg fasteners provisionally allocated to hip_link</x:v>
      </x:c>
      <x:c r="J10" s="209" t="str">
        <x:v>Mass verified; CAD CoM and inertia tensor pending</x:v>
      </x:c>
      <x:c r="K10" s="212" t="str">
        <x:v>Engineering metadata comment inserted</x:v>
      </x:c>
    </x:row>
    <x:row r="11">
      <x:c r="A11" s="213" t="str">
        <x:v>rf_upper_leg_link</x:v>
      </x:c>
      <x:c r="B11" s="214" t="str">
        <x:v>RF</x:v>
      </x:c>
      <x:c r="C11" s="214" t="str">
        <x:v>meshes/rf_upper_leg_link.stl</x:v>
      </x:c>
      <x:c r="D11" s="215" t="n">
        <x:v>98</x:v>
      </x:c>
      <x:c r="E11" s="216" t="n">
        <x:v>0.098</x:v>
      </x:c>
      <x:c r="F11" s="214" t="str">
        <x:v>Upper-leg assembly</x:v>
      </x:c>
      <x:c r="G11" s="214" t="str">
        <x:v>Feetech ST3215 actuator assembly (61 g; internal material not specified); PPA+CF (32 g); ABS ESD cover (5 g)</x:v>
      </x:c>
      <x:c r="H11" s="214" t="str">
        <x:v>ACT_FR_UpperLeg + Upper_Leg + Upper_Leg_Cover</x:v>
      </x:c>
      <x:c r="I11" s="214" t="str">
        <x:v>No separately measured fasteners allocated</x:v>
      </x:c>
      <x:c r="J11" s="214" t="str">
        <x:v>Mass verified; CAD CoM and inertia tensor pending</x:v>
      </x:c>
      <x:c r="K11" s="217" t="str">
        <x:v>Engineering metadata comment inserted</x:v>
      </x:c>
    </x:row>
    <x:row r="12">
      <x:c r="A12" s="218" t="str">
        <x:v>rf_lower_leg_link</x:v>
      </x:c>
      <x:c r="B12" s="219" t="str">
        <x:v>RF</x:v>
      </x:c>
      <x:c r="C12" s="219" t="str">
        <x:v>meshes/rf_lower_leg_link.stl</x:v>
      </x:c>
      <x:c r="D12" s="220" t="n">
        <x:v>114.5</x:v>
      </x:c>
      <x:c r="E12" s="221" t="n">
        <x:v>0.1145</x:v>
      </x:c>
      <x:c r="F12" s="219" t="str">
        <x:v>Lower-leg assembly</x:v>
      </x:c>
      <x:c r="G12" s="219" t="str">
        <x:v>Feetech ST3215 actuator assembly (61 g; internal material not specified); PPA+CF (53.5 g)</x:v>
      </x:c>
      <x:c r="H12" s="219" t="str">
        <x:v>ACT_FR_LowerLeg + Lower_Leg_R</x:v>
      </x:c>
      <x:c r="I12" s="219" t="str">
        <x:v>No separately measured fasteners allocated</x:v>
      </x:c>
      <x:c r="J12" s="219" t="str">
        <x:v>Mass verified; CAD CoM and inertia tensor pending</x:v>
      </x:c>
      <x:c r="K12" s="222" t="str">
        <x:v>Engineering metadata comment inserted</x:v>
      </x:c>
    </x:row>
    <x:row r="13">
      <x:c r="A13" s="223" t="str">
        <x:v>rf_foot_link</x:v>
      </x:c>
      <x:c r="B13" s="224" t="str">
        <x:v>RF</x:v>
      </x:c>
      <x:c r="C13" s="224" t="str">
        <x:v>meshes/rf_foot_link.stl</x:v>
      </x:c>
      <x:c r="D13" s="225" t="n">
        <x:v>6.5</x:v>
      </x:c>
      <x:c r="E13" s="226" t="n">
        <x:v>0.0065</x:v>
      </x:c>
      <x:c r="F13" s="224" t="str">
        <x:v>Rubber foot</x:v>
      </x:c>
      <x:c r="G13" s="224" t="str">
        <x:v>TPU 95A (6.5 g)</x:v>
      </x:c>
      <x:c r="H13" s="224" t="str">
        <x:v>Rubber_Foot FR</x:v>
      </x:c>
      <x:c r="I13" s="224" t="str">
        <x:v>No separately measured fasteners allocated</x:v>
      </x:c>
      <x:c r="J13" s="224" t="str">
        <x:v>Mass verified; CAD CoM and inertia tensor pending</x:v>
      </x:c>
      <x:c r="K13" s="227" t="str">
        <x:v>Engineering metadata comment inserted</x:v>
      </x:c>
    </x:row>
    <x:row r="14">
      <x:c r="A14" s="208" t="str">
        <x:v>rh_hip_link</x:v>
      </x:c>
      <x:c r="B14" s="209" t="str">
        <x:v>RH</x:v>
      </x:c>
      <x:c r="C14" s="209" t="str">
        <x:v>meshes/rh_hip_link.stl</x:v>
      </x:c>
      <x:c r="D14" s="210" t="n">
        <x:v>97</x:v>
      </x:c>
      <x:c r="E14" s="211" t="n">
        <x:v>0.097</x:v>
      </x:c>
      <x:c r="F14" s="209" t="str">
        <x:v>Hip / shoulder assembly</x:v>
      </x:c>
      <x:c r="G14" s="209" t="str">
        <x:v>Feetech ST3215 actuator assembly (61 g; internal material not specified); PPA+CF (32 g); Steel fasteners (4 g)</x:v>
      </x:c>
      <x:c r="H14" s="209" t="str">
        <x:v>ACT_RR_Shoulder + Shoulder_Joint_R + leg fasteners</x:v>
      </x:c>
      <x:c r="I14" s="209" t="str">
        <x:v>4 g leg fasteners provisionally allocated to hip_link</x:v>
      </x:c>
      <x:c r="J14" s="209" t="str">
        <x:v>Mass verified; CAD CoM and inertia tensor pending</x:v>
      </x:c>
      <x:c r="K14" s="212" t="str">
        <x:v>Engineering metadata comment inserted</x:v>
      </x:c>
    </x:row>
    <x:row r="15">
      <x:c r="A15" s="213" t="str">
        <x:v>rh_upper_leg_link</x:v>
      </x:c>
      <x:c r="B15" s="214" t="str">
        <x:v>RH</x:v>
      </x:c>
      <x:c r="C15" s="214" t="str">
        <x:v>meshes/rh_upper_leg_link.stl</x:v>
      </x:c>
      <x:c r="D15" s="215" t="n">
        <x:v>98</x:v>
      </x:c>
      <x:c r="E15" s="216" t="n">
        <x:v>0.098</x:v>
      </x:c>
      <x:c r="F15" s="214" t="str">
        <x:v>Upper-leg assembly</x:v>
      </x:c>
      <x:c r="G15" s="214" t="str">
        <x:v>Feetech ST3215 actuator assembly (61 g; internal material not specified); PPA+CF (32 g); ABS ESD cover (5 g)</x:v>
      </x:c>
      <x:c r="H15" s="214" t="str">
        <x:v>ACT_RR_UpperLeg + Upper_Leg + Upper_Leg_Cover</x:v>
      </x:c>
      <x:c r="I15" s="214" t="str">
        <x:v>No separately measured fasteners allocated</x:v>
      </x:c>
      <x:c r="J15" s="214" t="str">
        <x:v>Mass verified; CAD CoM and inertia tensor pending</x:v>
      </x:c>
      <x:c r="K15" s="217" t="str">
        <x:v>Engineering metadata comment inserted</x:v>
      </x:c>
    </x:row>
    <x:row r="16">
      <x:c r="A16" s="218" t="str">
        <x:v>rh_lower_leg_link</x:v>
      </x:c>
      <x:c r="B16" s="219" t="str">
        <x:v>RH</x:v>
      </x:c>
      <x:c r="C16" s="219" t="str">
        <x:v>meshes/rh_lower_leg_link.stl</x:v>
      </x:c>
      <x:c r="D16" s="220" t="n">
        <x:v>114.5</x:v>
      </x:c>
      <x:c r="E16" s="221" t="n">
        <x:v>0.1145</x:v>
      </x:c>
      <x:c r="F16" s="219" t="str">
        <x:v>Lower-leg assembly</x:v>
      </x:c>
      <x:c r="G16" s="219" t="str">
        <x:v>Feetech ST3215 actuator assembly (61 g; internal material not specified); PPA+CF (53.5 g)</x:v>
      </x:c>
      <x:c r="H16" s="219" t="str">
        <x:v>ACT_RR_LowerLeg + Lower_Leg_R</x:v>
      </x:c>
      <x:c r="I16" s="219" t="str">
        <x:v>No separately measured fasteners allocated</x:v>
      </x:c>
      <x:c r="J16" s="219" t="str">
        <x:v>Mass verified; CAD CoM and inertia tensor pending</x:v>
      </x:c>
      <x:c r="K16" s="222" t="str">
        <x:v>Engineering metadata comment inserted</x:v>
      </x:c>
    </x:row>
    <x:row r="17">
      <x:c r="A17" s="223" t="str">
        <x:v>rh_foot_link</x:v>
      </x:c>
      <x:c r="B17" s="224" t="str">
        <x:v>RH</x:v>
      </x:c>
      <x:c r="C17" s="224" t="str">
        <x:v>meshes/rh_foot_link.stl</x:v>
      </x:c>
      <x:c r="D17" s="225" t="n">
        <x:v>6.5</x:v>
      </x:c>
      <x:c r="E17" s="226" t="n">
        <x:v>0.0065</x:v>
      </x:c>
      <x:c r="F17" s="224" t="str">
        <x:v>Rubber foot</x:v>
      </x:c>
      <x:c r="G17" s="224" t="str">
        <x:v>TPU 95A (6.5 g)</x:v>
      </x:c>
      <x:c r="H17" s="224" t="str">
        <x:v>Rubber_Foot RR</x:v>
      </x:c>
      <x:c r="I17" s="224" t="str">
        <x:v>No separately measured fasteners allocated</x:v>
      </x:c>
      <x:c r="J17" s="224" t="str">
        <x:v>Mass verified; CAD CoM and inertia tensor pending</x:v>
      </x:c>
      <x:c r="K17" s="227" t="str">
        <x:v>Engineering metadata comment inserted</x:v>
      </x:c>
    </x:row>
    <x:row r="18">
      <x:c r="A18" s="208" t="str">
        <x:v>lh_hip_link</x:v>
      </x:c>
      <x:c r="B18" s="209" t="str">
        <x:v>LH</x:v>
      </x:c>
      <x:c r="C18" s="209" t="str">
        <x:v>meshes/lh_hip_link.stl</x:v>
      </x:c>
      <x:c r="D18" s="210" t="n">
        <x:v>97</x:v>
      </x:c>
      <x:c r="E18" s="211" t="n">
        <x:v>0.097</x:v>
      </x:c>
      <x:c r="F18" s="209" t="str">
        <x:v>Hip / shoulder assembly</x:v>
      </x:c>
      <x:c r="G18" s="209" t="str">
        <x:v>Feetech ST3215 actuator assembly (61 g; internal material not specified); PPA+CF (32 g); Steel fasteners (4 g)</x:v>
      </x:c>
      <x:c r="H18" s="209" t="str">
        <x:v>ACT_RL_Shoulder + Shoulder_Joint_L + leg fasteners</x:v>
      </x:c>
      <x:c r="I18" s="209" t="str">
        <x:v>4 g leg fasteners provisionally allocated to hip_link</x:v>
      </x:c>
      <x:c r="J18" s="209" t="str">
        <x:v>Mass verified; CAD CoM and inertia tensor pending</x:v>
      </x:c>
      <x:c r="K18" s="212" t="str">
        <x:v>Engineering metadata comment inserted</x:v>
      </x:c>
    </x:row>
    <x:row r="19">
      <x:c r="A19" s="213" t="str">
        <x:v>lh_upper_leg_link</x:v>
      </x:c>
      <x:c r="B19" s="214" t="str">
        <x:v>LH</x:v>
      </x:c>
      <x:c r="C19" s="214" t="str">
        <x:v>meshes/lh_upper_leg_link.stl</x:v>
      </x:c>
      <x:c r="D19" s="215" t="n">
        <x:v>98</x:v>
      </x:c>
      <x:c r="E19" s="216" t="n">
        <x:v>0.098</x:v>
      </x:c>
      <x:c r="F19" s="214" t="str">
        <x:v>Upper-leg assembly</x:v>
      </x:c>
      <x:c r="G19" s="214" t="str">
        <x:v>Feetech ST3215 actuator assembly (61 g; internal material not specified); PPA+CF (32 g); ABS ESD cover (5 g)</x:v>
      </x:c>
      <x:c r="H19" s="214" t="str">
        <x:v>ACT_RL_UpperLeg + Upper_Leg + Upper_Leg_Cover</x:v>
      </x:c>
      <x:c r="I19" s="214" t="str">
        <x:v>No separately measured fasteners allocated</x:v>
      </x:c>
      <x:c r="J19" s="214" t="str">
        <x:v>Mass verified; CAD CoM and inertia tensor pending</x:v>
      </x:c>
      <x:c r="K19" s="217" t="str">
        <x:v>Engineering metadata comment inserted</x:v>
      </x:c>
    </x:row>
    <x:row r="20">
      <x:c r="A20" s="218" t="str">
        <x:v>lh_lower_leg_link</x:v>
      </x:c>
      <x:c r="B20" s="219" t="str">
        <x:v>LH</x:v>
      </x:c>
      <x:c r="C20" s="219" t="str">
        <x:v>meshes/lh_lower_leg_link.stl</x:v>
      </x:c>
      <x:c r="D20" s="220" t="n">
        <x:v>114.5</x:v>
      </x:c>
      <x:c r="E20" s="221" t="n">
        <x:v>0.1145</x:v>
      </x:c>
      <x:c r="F20" s="219" t="str">
        <x:v>Lower-leg assembly</x:v>
      </x:c>
      <x:c r="G20" s="219" t="str">
        <x:v>Feetech ST3215 actuator assembly (61 g; internal material not specified); PPA+CF (53.5 g)</x:v>
      </x:c>
      <x:c r="H20" s="219" t="str">
        <x:v>ACT_RL_LowerLeg + Lower_Leg_L</x:v>
      </x:c>
      <x:c r="I20" s="219" t="str">
        <x:v>No separately measured fasteners allocated</x:v>
      </x:c>
      <x:c r="J20" s="219" t="str">
        <x:v>Mass verified; CAD CoM and inertia tensor pending</x:v>
      </x:c>
      <x:c r="K20" s="222" t="str">
        <x:v>Engineering metadata comment inserted</x:v>
      </x:c>
    </x:row>
    <x:row r="21">
      <x:c r="A21" s="228" t="str">
        <x:v>lh_foot_link</x:v>
      </x:c>
      <x:c r="B21" s="229" t="str">
        <x:v>LH</x:v>
      </x:c>
      <x:c r="C21" s="229" t="str">
        <x:v>meshes/lh_foot_link.stl</x:v>
      </x:c>
      <x:c r="D21" s="230" t="n">
        <x:v>6.5</x:v>
      </x:c>
      <x:c r="E21" s="231" t="n">
        <x:v>0.0065</x:v>
      </x:c>
      <x:c r="F21" s="229" t="str">
        <x:v>Rubber foot</x:v>
      </x:c>
      <x:c r="G21" s="229" t="str">
        <x:v>TPU 95A (6.5 g)</x:v>
      </x:c>
      <x:c r="H21" s="229" t="str">
        <x:v>Rubber_Foot RL</x:v>
      </x:c>
      <x:c r="I21" s="229" t="str">
        <x:v>No separately measured fasteners allocated</x:v>
      </x:c>
      <x:c r="J21" s="229" t="str">
        <x:v>Mass verified; CAD CoM and inertia tensor pending</x:v>
      </x:c>
      <x:c r="K21" s="232" t="str">
        <x:v>Engineering metadata comment inserted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4504bc9cdf148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139" t="str">
        <x:v>MATDOG — Riepilogo masse REV00</x:v>
      </x:c>
      <x:c r="B1" s="139"/>
      <x:c r="C1" s="139"/>
      <x:c r="D1" s="139"/>
      <x:c r="E1" s="139"/>
      <x:c r="F1" s="139"/>
    </x:row>
    <x:row r="2" ht="32" customHeight="1">
      <x:c r="A2" s="144" t="str">
        <x:v>Il totale del modello URDF corrente include body + quattro zampe. Il motore yaw testa da 61 g è presente nell’Engineering Data ma non è ancora modellato come link URDF.</x:v>
      </x:c>
      <x:c r="B2" s="144"/>
      <x:c r="C2" s="144"/>
      <x:c r="D2" s="144"/>
      <x:c r="E2" s="144"/>
      <x:c r="F2" s="144"/>
    </x:row>
    <x:row r="4">
      <x:c r="A4" s="157" t="str">
        <x:v>Metric</x:v>
      </x:c>
      <x:c r="B4" s="159" t="str">
        <x:v>Value</x:v>
      </x:c>
    </x:row>
    <x:row r="5">
      <x:c r="A5" s="236" t="str">
        <x:v>URDF modeled links mass [g]</x:v>
      </x:c>
      <x:c r="B5" s="233" t="n">
        <x:f>SUM(Link_Engineering!D5:D21)</x:f>
        <x:v>1549</x:v>
      </x:c>
    </x:row>
    <x:row r="6">
      <x:c r="A6" s="236" t="str">
        <x:v>URDF modeled links mass [kg]</x:v>
      </x:c>
      <x:c r="B6" s="234" t="n">
        <x:f>B5/1000</x:f>
        <x:v>1.549</x:v>
      </x:c>
    </x:row>
    <x:row r="7">
      <x:c r="A7" s="236" t="str">
        <x:v>Four legs mass [g]</x:v>
      </x:c>
      <x:c r="B7" s="233" t="n">
        <x:f>SUMIF(Link_Engineering!B5:B21,"&lt;&gt;Body",Link_Engineering!D5:D21)</x:f>
        <x:v>1264</x:v>
      </x:c>
    </x:row>
    <x:row r="8">
      <x:c r="A8" s="236" t="str">
        <x:v>Base link mass [g]</x:v>
      </x:c>
      <x:c r="B8" s="233" t="n">
        <x:f>SUMIF(Link_Engineering!B5:B21,"Body",Link_Engineering!D5:D21)</x:f>
        <x:v>285</x:v>
      </x:c>
    </x:row>
    <x:row r="9">
      <x:c r="A9" s="236" t="str">
        <x:v>Engineering_Data total [g]</x:v>
      </x:c>
      <x:c r="B9" s="233" t="n">
        <x:v>1610</x:v>
      </x:c>
    </x:row>
    <x:row r="10">
      <x:c r="A10" s="236" t="str">
        <x:v>Excluded from REV00 URDF: head yaw actuator [g]</x:v>
      </x:c>
      <x:c r="B10" s="233" t="n">
        <x:v>61</x:v>
      </x:c>
    </x:row>
    <x:row r="11">
      <x:c r="A11" s="238" t="str">
        <x:v>Mass reconciliation delta [g]</x:v>
      </x:c>
      <x:c r="B11" s="239" t="n">
        <x:f>B9-B5-B10</x:f>
        <x:v>0</x:v>
      </x:c>
    </x:row>
    <x:row r="13">
      <x:c r="A13" s="179" t="str">
        <x:v>Stato simulazione: masse reali definite; baricentri e tensori d’inerzia ancora PENDING_CAD. Non sono stati inseriti blocchi &lt;inertial&gt; nel URDF per evitare parametri dinamici fittizi.</x:v>
      </x:c>
      <x:c r="B13" s="180"/>
      <x:c r="C13" s="180"/>
      <x:c r="D13" s="180"/>
      <x:c r="E13" s="180"/>
      <x:c r="F13" s="181"/>
    </x:row>
    <x:row r="14">
      <x:c r="A14" s="182"/>
      <x:c r="B14" s="183"/>
      <x:c r="C14" s="183"/>
      <x:c r="D14" s="183"/>
      <x:c r="E14" s="183"/>
      <x:c r="F14" s="184"/>
    </x:row>
  </x:sheetData>
  <x:mergeCells>
    <x:mergeCell ref="A1:F1"/>
    <x:mergeCell ref="A2:F2"/>
    <x:mergeCell ref="A13:F13"/>
    <x:mergeCell ref="A13:F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30" hidden="0" customWidth="1"/>
    <x:col min="4" max="4" width="10" hidden="0" customWidth="1"/>
    <x:col min="5" max="5" width="18" hidden="0" customWidth="1"/>
    <x:col min="6" max="6" width="16" hidden="0" customWidth="1"/>
    <x:col min="7" max="7" width="8" hidden="0" customWidth="1"/>
    <x:col min="8" max="8" width="12" hidden="0" customWidth="1"/>
    <x:col min="9" max="9" width="18" hidden="0" customWidth="1"/>
    <x:col min="10" max="10" width="42" hidden="0" customWidth="1"/>
  </x:cols>
  <x:sheetData>
    <x:row r="1" ht="24" customHeight="1">
      <x:c r="A1" s="139" t="str">
        <x:v>Engineering_Data.xlsx — Weight source imported into MATDOG canonical workbook</x:v>
      </x:c>
      <x:c r="B1" s="139"/>
      <x:c r="C1" s="139"/>
      <x:c r="D1" s="139"/>
      <x:c r="E1" s="139"/>
      <x:c r="F1" s="139"/>
      <x:c r="G1" s="139"/>
      <x:c r="H1" s="139"/>
      <x:c r="I1" s="139"/>
      <x:c r="J1" s="139"/>
    </x:row>
    <x:row r="2" ht="32" customHeight="1">
      <x:c r="A2" s="144" t="str">
        <x:v>Fonte: Engineering_Data.xlsx / Weight. La colonna finale mostra l’assegnazione al link URDF; il motore yaw testa non è ancora presente nel modello REV00.</x:v>
      </x:c>
      <x:c r="B2" s="144"/>
      <x:c r="C2" s="144"/>
      <x:c r="D2" s="144"/>
      <x:c r="E2" s="144"/>
      <x:c r="F2" s="144"/>
      <x:c r="G2" s="144"/>
      <x:c r="H2" s="144"/>
      <x:c r="I2" s="144"/>
      <x:c r="J2" s="144"/>
    </x:row>
    <x:row r="4">
      <x:c r="A4" s="157" t="str">
        <x:v>N.</x:v>
      </x:c>
      <x:c r="B4" s="158" t="str">
        <x:v>Subsystem</x:v>
      </x:c>
      <x:c r="C4" s="158" t="str">
        <x:v>Component</x:v>
      </x:c>
      <x:c r="D4" s="158" t="str">
        <x:v>Side</x:v>
      </x:c>
      <x:c r="E4" s="158" t="str">
        <x:v>Material</x:v>
      </x:c>
      <x:c r="F4" s="158" t="str">
        <x:v>Interasse (mm)</x:v>
      </x:c>
      <x:c r="G4" s="158" t="str">
        <x:v>Q.ty</x:v>
      </x:c>
      <x:c r="H4" s="158" t="str">
        <x:v>Weight (g)</x:v>
      </x:c>
      <x:c r="I4" s="158" t="str">
        <x:v>Notes</x:v>
      </x:c>
      <x:c r="J4" s="159" t="str">
        <x:v>URDF link allocation</x:v>
      </x:c>
    </x:row>
    <x:row r="5">
      <x:c r="A5" s="195" t="n">
        <x:v>1</x:v>
      </x:c>
      <x:c r="B5" s="162" t="str">
        <x:v>Actuator / Motor</x:v>
      </x:c>
      <x:c r="C5" s="162" t="str">
        <x:v>ACT_FL_Shoulder_11</x:v>
      </x:c>
      <x:c r="D5" s="162" t="str">
        <x:v>FL</x:v>
      </x:c>
      <x:c r="E5" s="162" t="str">
        <x:v>-</x:v>
      </x:c>
      <x:c r="F5" s="162"/>
      <x:c r="G5" s="162" t="n">
        <x:v>1</x:v>
      </x:c>
      <x:c r="H5" s="196" t="n">
        <x:v>61</x:v>
      </x:c>
      <x:c r="I5" s="162" t="str">
        <x:v>ID_motor:11</x:v>
      </x:c>
      <x:c r="J5" s="163" t="str">
        <x:v>lf_hip_link</x:v>
      </x:c>
    </x:row>
    <x:row r="6">
      <x:c r="A6" s="195" t="n">
        <x:v>2</x:v>
      </x:c>
      <x:c r="B6" s="162" t="str">
        <x:v>Leg</x:v>
      </x:c>
      <x:c r="C6" s="162" t="str">
        <x:v>Shoulder_Joint_L</x:v>
      </x:c>
      <x:c r="D6" s="162" t="str">
        <x:v>FL</x:v>
      </x:c>
      <x:c r="E6" s="162" t="str">
        <x:v>PPA+CF</x:v>
      </x:c>
      <x:c r="F6" s="162"/>
      <x:c r="G6" s="162" t="n">
        <x:v>1</x:v>
      </x:c>
      <x:c r="H6" s="196" t="n">
        <x:v>32</x:v>
      </x:c>
      <x:c r="I6" s="162"/>
      <x:c r="J6" s="163" t="str">
        <x:v>lf_hip_link</x:v>
      </x:c>
    </x:row>
    <x:row r="7">
      <x:c r="A7" s="195" t="n">
        <x:v>3</x:v>
      </x:c>
      <x:c r="B7" s="162" t="str">
        <x:v>Actuator / Motor</x:v>
      </x:c>
      <x:c r="C7" s="162" t="str">
        <x:v>ACT_FL_UpperLeg_12</x:v>
      </x:c>
      <x:c r="D7" s="162" t="str">
        <x:v>FL</x:v>
      </x:c>
      <x:c r="E7" s="162" t="str">
        <x:v>-</x:v>
      </x:c>
      <x:c r="F7" s="162"/>
      <x:c r="G7" s="162" t="n">
        <x:v>1</x:v>
      </x:c>
      <x:c r="H7" s="196" t="n">
        <x:v>61</x:v>
      </x:c>
      <x:c r="I7" s="162" t="str">
        <x:v>ID_motor:12</x:v>
      </x:c>
      <x:c r="J7" s="163" t="str">
        <x:v>lf_upper_leg_link</x:v>
      </x:c>
    </x:row>
    <x:row r="8">
      <x:c r="A8" s="195" t="n">
        <x:v>4</x:v>
      </x:c>
      <x:c r="B8" s="162" t="str">
        <x:v>Leg</x:v>
      </x:c>
      <x:c r="C8" s="162" t="str">
        <x:v>Upper_Leg</x:v>
      </x:c>
      <x:c r="D8" s="162" t="str">
        <x:v>FL</x:v>
      </x:c>
      <x:c r="E8" s="162" t="str">
        <x:v>PPA+CF</x:v>
      </x:c>
      <x:c r="F8" s="162"/>
      <x:c r="G8" s="162" t="n">
        <x:v>1</x:v>
      </x:c>
      <x:c r="H8" s="196" t="n">
        <x:v>32</x:v>
      </x:c>
      <x:c r="I8" s="162"/>
      <x:c r="J8" s="163" t="str">
        <x:v>lf_upper_leg_link</x:v>
      </x:c>
    </x:row>
    <x:row r="9">
      <x:c r="A9" s="195" t="n">
        <x:v>5</x:v>
      </x:c>
      <x:c r="B9" s="162" t="str">
        <x:v>Leg</x:v>
      </x:c>
      <x:c r="C9" s="162" t="str">
        <x:v>Upper_Leg_Cover</x:v>
      </x:c>
      <x:c r="D9" s="162" t="str">
        <x:v>fl</x:v>
      </x:c>
      <x:c r="E9" s="162" t="str">
        <x:v>ABS ESD</x:v>
      </x:c>
      <x:c r="F9" s="162"/>
      <x:c r="G9" s="162" t="n">
        <x:v>1</x:v>
      </x:c>
      <x:c r="H9" s="196" t="n">
        <x:v>5</x:v>
      </x:c>
      <x:c r="I9" s="162"/>
      <x:c r="J9" s="163" t="str">
        <x:v>lf_upper_leg_link</x:v>
      </x:c>
    </x:row>
    <x:row r="10">
      <x:c r="A10" s="195" t="n">
        <x:v>6</x:v>
      </x:c>
      <x:c r="B10" s="162" t="str">
        <x:v>Actuator / Motor</x:v>
      </x:c>
      <x:c r="C10" s="162" t="str">
        <x:v>ACT_FL_LowerLeg_13</x:v>
      </x:c>
      <x:c r="D10" s="162" t="str">
        <x:v>FL</x:v>
      </x:c>
      <x:c r="E10" s="162" t="str">
        <x:v>-</x:v>
      </x:c>
      <x:c r="F10" s="162"/>
      <x:c r="G10" s="162" t="n">
        <x:v>1</x:v>
      </x:c>
      <x:c r="H10" s="196" t="n">
        <x:v>61</x:v>
      </x:c>
      <x:c r="I10" s="162" t="str">
        <x:v>ID_motor:13</x:v>
      </x:c>
      <x:c r="J10" s="163" t="str">
        <x:v>lf_lower_leg_link</x:v>
      </x:c>
    </x:row>
    <x:row r="11">
      <x:c r="A11" s="195" t="n">
        <x:v>7</x:v>
      </x:c>
      <x:c r="B11" s="162" t="str">
        <x:v>Leg</x:v>
      </x:c>
      <x:c r="C11" s="162" t="str">
        <x:v>Lower_Leg_L</x:v>
      </x:c>
      <x:c r="D11" s="162" t="str">
        <x:v>FL</x:v>
      </x:c>
      <x:c r="E11" s="162" t="str">
        <x:v>PPA+CF</x:v>
      </x:c>
      <x:c r="F11" s="162"/>
      <x:c r="G11" s="162" t="n">
        <x:v>1</x:v>
      </x:c>
      <x:c r="H11" s="196" t="n">
        <x:v>53.5</x:v>
      </x:c>
      <x:c r="I11" s="162"/>
      <x:c r="J11" s="163" t="str">
        <x:v>lf_lower_leg_link</x:v>
      </x:c>
    </x:row>
    <x:row r="12">
      <x:c r="A12" s="195" t="n">
        <x:v>8</x:v>
      </x:c>
      <x:c r="B12" s="162" t="str">
        <x:v>Leg</x:v>
      </x:c>
      <x:c r="C12" s="162" t="str">
        <x:v>Rubber_Foot</x:v>
      </x:c>
      <x:c r="D12" s="162" t="str">
        <x:v>FL</x:v>
      </x:c>
      <x:c r="E12" s="162" t="str">
        <x:v>TPU 95A</x:v>
      </x:c>
      <x:c r="F12" s="162"/>
      <x:c r="G12" s="162" t="n">
        <x:v>1</x:v>
      </x:c>
      <x:c r="H12" s="196" t="n">
        <x:v>6.5</x:v>
      </x:c>
      <x:c r="I12" s="162"/>
      <x:c r="J12" s="163" t="str">
        <x:v>lf_foot_link</x:v>
      </x:c>
    </x:row>
    <x:row r="13">
      <x:c r="A13" s="195" t="n">
        <x:v>9</x:v>
      </x:c>
      <x:c r="B13" s="162" t="str">
        <x:v>Fastners</x:v>
      </x:c>
      <x:c r="C13" s="162"/>
      <x:c r="D13" s="162" t="str">
        <x:v>FL</x:v>
      </x:c>
      <x:c r="E13" s="162" t="str">
        <x:v>Steel</x:v>
      </x:c>
      <x:c r="F13" s="162"/>
      <x:c r="G13" s="162" t="n">
        <x:v>1</x:v>
      </x:c>
      <x:c r="H13" s="196" t="n">
        <x:v>4</x:v>
      </x:c>
      <x:c r="I13" s="162"/>
      <x:c r="J13" s="163" t="str">
        <x:v>lf_hip_link</x:v>
      </x:c>
    </x:row>
    <x:row r="14">
      <x:c r="A14" s="195"/>
      <x:c r="B14" s="162"/>
      <x:c r="C14" s="162"/>
      <x:c r="D14" s="162"/>
      <x:c r="E14" s="162"/>
      <x:c r="F14" s="162"/>
      <x:c r="G14" s="162" t="str">
        <x:v>Tot.:</x:v>
      </x:c>
      <x:c r="H14" s="196" t="n">
        <x:v>316</x:v>
      </x:c>
      <x:c r="I14" s="162"/>
      <x:c r="J14" s="163"/>
    </x:row>
    <x:row r="15">
      <x:c r="A15" s="195" t="n">
        <x:v>10</x:v>
      </x:c>
      <x:c r="B15" s="162" t="str">
        <x:v>Actuator / Motor</x:v>
      </x:c>
      <x:c r="C15" s="162" t="str">
        <x:v>ACT_FR_Shoulder_21</x:v>
      </x:c>
      <x:c r="D15" s="162" t="str">
        <x:v>FR</x:v>
      </x:c>
      <x:c r="E15" s="162" t="str">
        <x:v>-</x:v>
      </x:c>
      <x:c r="F15" s="162"/>
      <x:c r="G15" s="162" t="n">
        <x:v>1</x:v>
      </x:c>
      <x:c r="H15" s="196" t="n">
        <x:v>61</x:v>
      </x:c>
      <x:c r="I15" s="162" t="str">
        <x:v>ID_motor:21</x:v>
      </x:c>
      <x:c r="J15" s="163" t="str">
        <x:v>rf_hip_link</x:v>
      </x:c>
    </x:row>
    <x:row r="16">
      <x:c r="A16" s="195" t="n">
        <x:v>11</x:v>
      </x:c>
      <x:c r="B16" s="162" t="str">
        <x:v>Leg</x:v>
      </x:c>
      <x:c r="C16" s="162" t="str">
        <x:v>Shoulder_Joint_R</x:v>
      </x:c>
      <x:c r="D16" s="162" t="str">
        <x:v>FR</x:v>
      </x:c>
      <x:c r="E16" s="162" t="str">
        <x:v>PPA+CF</x:v>
      </x:c>
      <x:c r="F16" s="162"/>
      <x:c r="G16" s="162" t="n">
        <x:v>1</x:v>
      </x:c>
      <x:c r="H16" s="196" t="n">
        <x:v>32</x:v>
      </x:c>
      <x:c r="I16" s="162"/>
      <x:c r="J16" s="163" t="str">
        <x:v>rf_hip_link</x:v>
      </x:c>
    </x:row>
    <x:row r="17">
      <x:c r="A17" s="195" t="n">
        <x:v>12</x:v>
      </x:c>
      <x:c r="B17" s="162" t="str">
        <x:v>Actuator / Motor</x:v>
      </x:c>
      <x:c r="C17" s="162" t="str">
        <x:v>ACT_FR_UpperLeg_22</x:v>
      </x:c>
      <x:c r="D17" s="162" t="str">
        <x:v>FR</x:v>
      </x:c>
      <x:c r="E17" s="162" t="str">
        <x:v>-</x:v>
      </x:c>
      <x:c r="F17" s="162"/>
      <x:c r="G17" s="162" t="n">
        <x:v>1</x:v>
      </x:c>
      <x:c r="H17" s="196" t="n">
        <x:v>61</x:v>
      </x:c>
      <x:c r="I17" s="162" t="str">
        <x:v>ID_motor:22</x:v>
      </x:c>
      <x:c r="J17" s="163" t="str">
        <x:v>rf_upper_leg_link</x:v>
      </x:c>
    </x:row>
    <x:row r="18">
      <x:c r="A18" s="195" t="n">
        <x:v>13</x:v>
      </x:c>
      <x:c r="B18" s="162" t="str">
        <x:v>Leg</x:v>
      </x:c>
      <x:c r="C18" s="162" t="str">
        <x:v>Upper_Leg</x:v>
      </x:c>
      <x:c r="D18" s="162" t="str">
        <x:v>FR</x:v>
      </x:c>
      <x:c r="E18" s="162" t="str">
        <x:v>PPA+CF</x:v>
      </x:c>
      <x:c r="F18" s="162"/>
      <x:c r="G18" s="162" t="n">
        <x:v>1</x:v>
      </x:c>
      <x:c r="H18" s="196" t="n">
        <x:v>32</x:v>
      </x:c>
      <x:c r="I18" s="162"/>
      <x:c r="J18" s="163" t="str">
        <x:v>rf_upper_leg_link</x:v>
      </x:c>
    </x:row>
    <x:row r="19">
      <x:c r="A19" s="195" t="n">
        <x:v>14</x:v>
      </x:c>
      <x:c r="B19" s="162" t="str">
        <x:v>Leg</x:v>
      </x:c>
      <x:c r="C19" s="162" t="str">
        <x:v>Upper_Leg_Cover</x:v>
      </x:c>
      <x:c r="D19" s="162" t="str">
        <x:v>FR</x:v>
      </x:c>
      <x:c r="E19" s="162" t="str">
        <x:v>ABS ESD</x:v>
      </x:c>
      <x:c r="F19" s="162"/>
      <x:c r="G19" s="162" t="n">
        <x:v>1</x:v>
      </x:c>
      <x:c r="H19" s="196" t="n">
        <x:v>5</x:v>
      </x:c>
      <x:c r="I19" s="162"/>
      <x:c r="J19" s="163" t="str">
        <x:v>rf_upper_leg_link</x:v>
      </x:c>
    </x:row>
    <x:row r="20">
      <x:c r="A20" s="195" t="n">
        <x:v>15</x:v>
      </x:c>
      <x:c r="B20" s="162" t="str">
        <x:v>Actuator / Motor</x:v>
      </x:c>
      <x:c r="C20" s="162" t="str">
        <x:v>ACT_FR_LowerLeg_23</x:v>
      </x:c>
      <x:c r="D20" s="162" t="str">
        <x:v>FR</x:v>
      </x:c>
      <x:c r="E20" s="162" t="str">
        <x:v>-</x:v>
      </x:c>
      <x:c r="F20" s="162"/>
      <x:c r="G20" s="162" t="n">
        <x:v>1</x:v>
      </x:c>
      <x:c r="H20" s="196" t="n">
        <x:v>61</x:v>
      </x:c>
      <x:c r="I20" s="162" t="str">
        <x:v>ID_motor:23</x:v>
      </x:c>
      <x:c r="J20" s="163" t="str">
        <x:v>rf_lower_leg_link</x:v>
      </x:c>
    </x:row>
    <x:row r="21">
      <x:c r="A21" s="195" t="n">
        <x:v>16</x:v>
      </x:c>
      <x:c r="B21" s="162" t="str">
        <x:v>Leg</x:v>
      </x:c>
      <x:c r="C21" s="162" t="str">
        <x:v>Lower_Leg_R</x:v>
      </x:c>
      <x:c r="D21" s="162" t="str">
        <x:v>FR</x:v>
      </x:c>
      <x:c r="E21" s="162" t="str">
        <x:v>PPA+CF</x:v>
      </x:c>
      <x:c r="F21" s="162"/>
      <x:c r="G21" s="162" t="n">
        <x:v>1</x:v>
      </x:c>
      <x:c r="H21" s="196" t="n">
        <x:v>53.5</x:v>
      </x:c>
      <x:c r="I21" s="162"/>
      <x:c r="J21" s="163" t="str">
        <x:v>rf_lower_leg_link</x:v>
      </x:c>
    </x:row>
    <x:row r="22">
      <x:c r="A22" s="195" t="n">
        <x:v>17</x:v>
      </x:c>
      <x:c r="B22" s="162" t="str">
        <x:v>Leg</x:v>
      </x:c>
      <x:c r="C22" s="162" t="str">
        <x:v>Rubber_Foot</x:v>
      </x:c>
      <x:c r="D22" s="162" t="str">
        <x:v>FR</x:v>
      </x:c>
      <x:c r="E22" s="162" t="str">
        <x:v>TPU 95A</x:v>
      </x:c>
      <x:c r="F22" s="162"/>
      <x:c r="G22" s="162" t="n">
        <x:v>1</x:v>
      </x:c>
      <x:c r="H22" s="196" t="n">
        <x:v>6.5</x:v>
      </x:c>
      <x:c r="I22" s="162"/>
      <x:c r="J22" s="163" t="str">
        <x:v>rf_foot_link</x:v>
      </x:c>
    </x:row>
    <x:row r="23">
      <x:c r="A23" s="195" t="n">
        <x:v>18</x:v>
      </x:c>
      <x:c r="B23" s="162" t="str">
        <x:v>Fastners</x:v>
      </x:c>
      <x:c r="C23" s="162"/>
      <x:c r="D23" s="162" t="str">
        <x:v>FR</x:v>
      </x:c>
      <x:c r="E23" s="162" t="str">
        <x:v>Steel</x:v>
      </x:c>
      <x:c r="F23" s="162"/>
      <x:c r="G23" s="162" t="n">
        <x:v>1</x:v>
      </x:c>
      <x:c r="H23" s="196" t="n">
        <x:v>4</x:v>
      </x:c>
      <x:c r="I23" s="162"/>
      <x:c r="J23" s="163" t="str">
        <x:v>rf_hip_link</x:v>
      </x:c>
    </x:row>
    <x:row r="24">
      <x:c r="A24" s="195"/>
      <x:c r="B24" s="162"/>
      <x:c r="C24" s="162"/>
      <x:c r="D24" s="162"/>
      <x:c r="E24" s="162"/>
      <x:c r="F24" s="162"/>
      <x:c r="G24" s="162" t="str">
        <x:v>Tot.:</x:v>
      </x:c>
      <x:c r="H24" s="196" t="n">
        <x:v>316</x:v>
      </x:c>
      <x:c r="I24" s="162"/>
      <x:c r="J24" s="163"/>
    </x:row>
    <x:row r="25">
      <x:c r="A25" s="195" t="n">
        <x:v>19</x:v>
      </x:c>
      <x:c r="B25" s="162" t="str">
        <x:v>Actuator / Motor</x:v>
      </x:c>
      <x:c r="C25" s="162" t="str">
        <x:v>ACT_RR_Shoulder_31</x:v>
      </x:c>
      <x:c r="D25" s="162" t="str">
        <x:v>RR</x:v>
      </x:c>
      <x:c r="E25" s="162" t="str">
        <x:v>-</x:v>
      </x:c>
      <x:c r="F25" s="162"/>
      <x:c r="G25" s="162" t="n">
        <x:v>1</x:v>
      </x:c>
      <x:c r="H25" s="196" t="n">
        <x:v>61</x:v>
      </x:c>
      <x:c r="I25" s="162" t="str">
        <x:v>ID_motor:31</x:v>
      </x:c>
      <x:c r="J25" s="163" t="str">
        <x:v>rh_hip_link</x:v>
      </x:c>
    </x:row>
    <x:row r="26">
      <x:c r="A26" s="195" t="n">
        <x:v>20</x:v>
      </x:c>
      <x:c r="B26" s="162" t="str">
        <x:v>Leg</x:v>
      </x:c>
      <x:c r="C26" s="162" t="str">
        <x:v>Shoulder_Joint_R</x:v>
      </x:c>
      <x:c r="D26" s="162" t="str">
        <x:v>RR</x:v>
      </x:c>
      <x:c r="E26" s="162" t="str">
        <x:v>PPA+CF</x:v>
      </x:c>
      <x:c r="F26" s="162"/>
      <x:c r="G26" s="162" t="n">
        <x:v>1</x:v>
      </x:c>
      <x:c r="H26" s="196" t="n">
        <x:v>32</x:v>
      </x:c>
      <x:c r="I26" s="162"/>
      <x:c r="J26" s="163" t="str">
        <x:v>rh_hip_link</x:v>
      </x:c>
    </x:row>
    <x:row r="27">
      <x:c r="A27" s="195" t="n">
        <x:v>21</x:v>
      </x:c>
      <x:c r="B27" s="162" t="str">
        <x:v>Actuator / Motor</x:v>
      </x:c>
      <x:c r="C27" s="162" t="str">
        <x:v>ACT_RR_UpperLeg_32</x:v>
      </x:c>
      <x:c r="D27" s="162" t="str">
        <x:v>RR</x:v>
      </x:c>
      <x:c r="E27" s="162" t="str">
        <x:v>-</x:v>
      </x:c>
      <x:c r="F27" s="162"/>
      <x:c r="G27" s="162" t="n">
        <x:v>1</x:v>
      </x:c>
      <x:c r="H27" s="196" t="n">
        <x:v>61</x:v>
      </x:c>
      <x:c r="I27" s="162" t="str">
        <x:v>ID_motor:32</x:v>
      </x:c>
      <x:c r="J27" s="163" t="str">
        <x:v>rh_upper_leg_link</x:v>
      </x:c>
    </x:row>
    <x:row r="28">
      <x:c r="A28" s="195" t="n">
        <x:v>22</x:v>
      </x:c>
      <x:c r="B28" s="162" t="str">
        <x:v>Leg</x:v>
      </x:c>
      <x:c r="C28" s="162" t="str">
        <x:v>Upper_Leg</x:v>
      </x:c>
      <x:c r="D28" s="162" t="str">
        <x:v>RR</x:v>
      </x:c>
      <x:c r="E28" s="162" t="str">
        <x:v>PPA+CF</x:v>
      </x:c>
      <x:c r="F28" s="162"/>
      <x:c r="G28" s="162" t="n">
        <x:v>1</x:v>
      </x:c>
      <x:c r="H28" s="196" t="n">
        <x:v>32</x:v>
      </x:c>
      <x:c r="I28" s="162"/>
      <x:c r="J28" s="163" t="str">
        <x:v>rh_upper_leg_link</x:v>
      </x:c>
    </x:row>
    <x:row r="29">
      <x:c r="A29" s="195" t="n">
        <x:v>23</x:v>
      </x:c>
      <x:c r="B29" s="162" t="str">
        <x:v>Leg</x:v>
      </x:c>
      <x:c r="C29" s="162" t="str">
        <x:v>Upper_Leg_Cover</x:v>
      </x:c>
      <x:c r="D29" s="162" t="str">
        <x:v>RR</x:v>
      </x:c>
      <x:c r="E29" s="162" t="str">
        <x:v>ABS ESD</x:v>
      </x:c>
      <x:c r="F29" s="162"/>
      <x:c r="G29" s="162" t="n">
        <x:v>1</x:v>
      </x:c>
      <x:c r="H29" s="196" t="n">
        <x:v>5</x:v>
      </x:c>
      <x:c r="I29" s="162"/>
      <x:c r="J29" s="163" t="str">
        <x:v>rh_upper_leg_link</x:v>
      </x:c>
    </x:row>
    <x:row r="30">
      <x:c r="A30" s="195" t="n">
        <x:v>24</x:v>
      </x:c>
      <x:c r="B30" s="162" t="str">
        <x:v>Actuator / Motor</x:v>
      </x:c>
      <x:c r="C30" s="162" t="str">
        <x:v>ACT_FR_LowerLeg_33</x:v>
      </x:c>
      <x:c r="D30" s="162" t="str">
        <x:v>RR</x:v>
      </x:c>
      <x:c r="E30" s="162" t="str">
        <x:v>-</x:v>
      </x:c>
      <x:c r="F30" s="162"/>
      <x:c r="G30" s="162" t="n">
        <x:v>1</x:v>
      </x:c>
      <x:c r="H30" s="196" t="n">
        <x:v>61</x:v>
      </x:c>
      <x:c r="I30" s="162" t="str">
        <x:v>ID_motor:33</x:v>
      </x:c>
      <x:c r="J30" s="163" t="str">
        <x:v>rh_lower_leg_link</x:v>
      </x:c>
    </x:row>
    <x:row r="31">
      <x:c r="A31" s="195" t="n">
        <x:v>25</x:v>
      </x:c>
      <x:c r="B31" s="162" t="str">
        <x:v>Leg</x:v>
      </x:c>
      <x:c r="C31" s="162" t="str">
        <x:v>Lower_Leg_R</x:v>
      </x:c>
      <x:c r="D31" s="162" t="str">
        <x:v>RR</x:v>
      </x:c>
      <x:c r="E31" s="162" t="str">
        <x:v>PPA+CF</x:v>
      </x:c>
      <x:c r="F31" s="162"/>
      <x:c r="G31" s="162" t="n">
        <x:v>1</x:v>
      </x:c>
      <x:c r="H31" s="196" t="n">
        <x:v>53.5</x:v>
      </x:c>
      <x:c r="I31" s="162"/>
      <x:c r="J31" s="163" t="str">
        <x:v>rh_lower_leg_link</x:v>
      </x:c>
    </x:row>
    <x:row r="32">
      <x:c r="A32" s="195" t="n">
        <x:v>26</x:v>
      </x:c>
      <x:c r="B32" s="162" t="str">
        <x:v>Leg</x:v>
      </x:c>
      <x:c r="C32" s="162" t="str">
        <x:v>Rubber_Foot</x:v>
      </x:c>
      <x:c r="D32" s="162" t="str">
        <x:v>RR</x:v>
      </x:c>
      <x:c r="E32" s="162" t="str">
        <x:v>TPU 95A</x:v>
      </x:c>
      <x:c r="F32" s="162"/>
      <x:c r="G32" s="162" t="n">
        <x:v>1</x:v>
      </x:c>
      <x:c r="H32" s="196" t="n">
        <x:v>6.5</x:v>
      </x:c>
      <x:c r="I32" s="162"/>
      <x:c r="J32" s="163" t="str">
        <x:v>rh_foot_link</x:v>
      </x:c>
    </x:row>
    <x:row r="33">
      <x:c r="A33" s="195" t="n">
        <x:v>27</x:v>
      </x:c>
      <x:c r="B33" s="162" t="str">
        <x:v>Fastners</x:v>
      </x:c>
      <x:c r="C33" s="162"/>
      <x:c r="D33" s="162" t="str">
        <x:v>RR</x:v>
      </x:c>
      <x:c r="E33" s="162" t="str">
        <x:v>Steel</x:v>
      </x:c>
      <x:c r="F33" s="162"/>
      <x:c r="G33" s="162" t="n">
        <x:v>1</x:v>
      </x:c>
      <x:c r="H33" s="196" t="n">
        <x:v>4</x:v>
      </x:c>
      <x:c r="I33" s="162"/>
      <x:c r="J33" s="163" t="str">
        <x:v>rh_hip_link</x:v>
      </x:c>
    </x:row>
    <x:row r="34">
      <x:c r="A34" s="195"/>
      <x:c r="B34" s="162"/>
      <x:c r="C34" s="162"/>
      <x:c r="D34" s="162"/>
      <x:c r="E34" s="162"/>
      <x:c r="F34" s="162"/>
      <x:c r="G34" s="162" t="str">
        <x:v>Tot.:</x:v>
      </x:c>
      <x:c r="H34" s="196" t="n">
        <x:v>316</x:v>
      </x:c>
      <x:c r="I34" s="162"/>
      <x:c r="J34" s="163"/>
    </x:row>
    <x:row r="35">
      <x:c r="A35" s="195" t="n">
        <x:v>28</x:v>
      </x:c>
      <x:c r="B35" s="162" t="str">
        <x:v>Actuator / Motor</x:v>
      </x:c>
      <x:c r="C35" s="162" t="str">
        <x:v>ACT_RL_Shoulder_41</x:v>
      </x:c>
      <x:c r="D35" s="162" t="str">
        <x:v>RL</x:v>
      </x:c>
      <x:c r="E35" s="162" t="str">
        <x:v>-</x:v>
      </x:c>
      <x:c r="F35" s="162"/>
      <x:c r="G35" s="162" t="n">
        <x:v>1</x:v>
      </x:c>
      <x:c r="H35" s="196" t="n">
        <x:v>61</x:v>
      </x:c>
      <x:c r="I35" s="162" t="str">
        <x:v>ID_motor:41</x:v>
      </x:c>
      <x:c r="J35" s="163" t="str">
        <x:v>lh_hip_link</x:v>
      </x:c>
    </x:row>
    <x:row r="36">
      <x:c r="A36" s="195" t="n">
        <x:v>29</x:v>
      </x:c>
      <x:c r="B36" s="162" t="str">
        <x:v>Leg</x:v>
      </x:c>
      <x:c r="C36" s="162" t="str">
        <x:v>Shoulder_Joint_L</x:v>
      </x:c>
      <x:c r="D36" s="162" t="str">
        <x:v>RL</x:v>
      </x:c>
      <x:c r="E36" s="162" t="str">
        <x:v>PPA+CF</x:v>
      </x:c>
      <x:c r="F36" s="162"/>
      <x:c r="G36" s="162" t="n">
        <x:v>1</x:v>
      </x:c>
      <x:c r="H36" s="196" t="n">
        <x:v>32</x:v>
      </x:c>
      <x:c r="I36" s="162"/>
      <x:c r="J36" s="163" t="str">
        <x:v>lh_hip_link</x:v>
      </x:c>
    </x:row>
    <x:row r="37">
      <x:c r="A37" s="195" t="n">
        <x:v>30</x:v>
      </x:c>
      <x:c r="B37" s="162" t="str">
        <x:v>Actuator / Motor</x:v>
      </x:c>
      <x:c r="C37" s="162" t="str">
        <x:v>ACT_RL_UpperLeg_42</x:v>
      </x:c>
      <x:c r="D37" s="162" t="str">
        <x:v>RL</x:v>
      </x:c>
      <x:c r="E37" s="162" t="str">
        <x:v>-</x:v>
      </x:c>
      <x:c r="F37" s="162"/>
      <x:c r="G37" s="162" t="n">
        <x:v>1</x:v>
      </x:c>
      <x:c r="H37" s="196" t="n">
        <x:v>61</x:v>
      </x:c>
      <x:c r="I37" s="162" t="str">
        <x:v>ID_motor:42</x:v>
      </x:c>
      <x:c r="J37" s="163" t="str">
        <x:v>lh_upper_leg_link</x:v>
      </x:c>
    </x:row>
    <x:row r="38">
      <x:c r="A38" s="195" t="n">
        <x:v>31</x:v>
      </x:c>
      <x:c r="B38" s="162" t="str">
        <x:v>Leg</x:v>
      </x:c>
      <x:c r="C38" s="162" t="str">
        <x:v>Upper_Leg</x:v>
      </x:c>
      <x:c r="D38" s="162" t="str">
        <x:v>RL</x:v>
      </x:c>
      <x:c r="E38" s="162" t="str">
        <x:v>PPA+CF</x:v>
      </x:c>
      <x:c r="F38" s="162"/>
      <x:c r="G38" s="162" t="n">
        <x:v>1</x:v>
      </x:c>
      <x:c r="H38" s="196" t="n">
        <x:v>32</x:v>
      </x:c>
      <x:c r="I38" s="162"/>
      <x:c r="J38" s="163" t="str">
        <x:v>lh_upper_leg_link</x:v>
      </x:c>
    </x:row>
    <x:row r="39">
      <x:c r="A39" s="195" t="n">
        <x:v>32</x:v>
      </x:c>
      <x:c r="B39" s="162" t="str">
        <x:v>Leg</x:v>
      </x:c>
      <x:c r="C39" s="162" t="str">
        <x:v>Upper_Leg_Cover</x:v>
      </x:c>
      <x:c r="D39" s="162" t="str">
        <x:v>RL</x:v>
      </x:c>
      <x:c r="E39" s="162" t="str">
        <x:v>ABS ESD</x:v>
      </x:c>
      <x:c r="F39" s="162"/>
      <x:c r="G39" s="162" t="n">
        <x:v>1</x:v>
      </x:c>
      <x:c r="H39" s="196" t="n">
        <x:v>5</x:v>
      </x:c>
      <x:c r="I39" s="162"/>
      <x:c r="J39" s="163" t="str">
        <x:v>lh_upper_leg_link</x:v>
      </x:c>
    </x:row>
    <x:row r="40">
      <x:c r="A40" s="195" t="n">
        <x:v>33</x:v>
      </x:c>
      <x:c r="B40" s="162" t="str">
        <x:v>Actuator / Motor</x:v>
      </x:c>
      <x:c r="C40" s="162" t="str">
        <x:v>ACT_RL_LowerLeg_43</x:v>
      </x:c>
      <x:c r="D40" s="162" t="str">
        <x:v>RL</x:v>
      </x:c>
      <x:c r="E40" s="162" t="str">
        <x:v>-</x:v>
      </x:c>
      <x:c r="F40" s="162"/>
      <x:c r="G40" s="162" t="n">
        <x:v>1</x:v>
      </x:c>
      <x:c r="H40" s="196" t="n">
        <x:v>61</x:v>
      </x:c>
      <x:c r="I40" s="162" t="str">
        <x:v>ID_motor:43</x:v>
      </x:c>
      <x:c r="J40" s="163" t="str">
        <x:v>lh_lower_leg_link</x:v>
      </x:c>
    </x:row>
    <x:row r="41">
      <x:c r="A41" s="195" t="n">
        <x:v>34</x:v>
      </x:c>
      <x:c r="B41" s="162" t="str">
        <x:v>Leg</x:v>
      </x:c>
      <x:c r="C41" s="162" t="str">
        <x:v>Lower_Leg_L</x:v>
      </x:c>
      <x:c r="D41" s="162" t="str">
        <x:v>RL</x:v>
      </x:c>
      <x:c r="E41" s="162" t="str">
        <x:v>PPA+CF</x:v>
      </x:c>
      <x:c r="F41" s="162"/>
      <x:c r="G41" s="162" t="n">
        <x:v>1</x:v>
      </x:c>
      <x:c r="H41" s="196" t="n">
        <x:v>53.5</x:v>
      </x:c>
      <x:c r="I41" s="162"/>
      <x:c r="J41" s="163" t="str">
        <x:v>lh_lower_leg_link</x:v>
      </x:c>
    </x:row>
    <x:row r="42">
      <x:c r="A42" s="195" t="n">
        <x:v>35</x:v>
      </x:c>
      <x:c r="B42" s="162" t="str">
        <x:v>Leg</x:v>
      </x:c>
      <x:c r="C42" s="162" t="str">
        <x:v>Rubber_Foot</x:v>
      </x:c>
      <x:c r="D42" s="162" t="str">
        <x:v>RL</x:v>
      </x:c>
      <x:c r="E42" s="162" t="str">
        <x:v>TPU 95A</x:v>
      </x:c>
      <x:c r="F42" s="162"/>
      <x:c r="G42" s="162" t="n">
        <x:v>1</x:v>
      </x:c>
      <x:c r="H42" s="196" t="n">
        <x:v>6.5</x:v>
      </x:c>
      <x:c r="I42" s="162"/>
      <x:c r="J42" s="163" t="str">
        <x:v>lh_foot_link</x:v>
      </x:c>
    </x:row>
    <x:row r="43">
      <x:c r="A43" s="195" t="n">
        <x:v>36</x:v>
      </x:c>
      <x:c r="B43" s="162" t="str">
        <x:v>Fastners</x:v>
      </x:c>
      <x:c r="C43" s="162"/>
      <x:c r="D43" s="162" t="str">
        <x:v>RL</x:v>
      </x:c>
      <x:c r="E43" s="162" t="str">
        <x:v>Steel</x:v>
      </x:c>
      <x:c r="F43" s="162"/>
      <x:c r="G43" s="162" t="n">
        <x:v>1</x:v>
      </x:c>
      <x:c r="H43" s="196" t="n">
        <x:v>4</x:v>
      </x:c>
      <x:c r="I43" s="162"/>
      <x:c r="J43" s="163" t="str">
        <x:v>lh_hip_link</x:v>
      </x:c>
    </x:row>
    <x:row r="44">
      <x:c r="A44" s="195"/>
      <x:c r="B44" s="162"/>
      <x:c r="C44" s="162"/>
      <x:c r="D44" s="162"/>
      <x:c r="E44" s="162"/>
      <x:c r="F44" s="162"/>
      <x:c r="G44" s="162" t="str">
        <x:v>Tot.:</x:v>
      </x:c>
      <x:c r="H44" s="196" t="n">
        <x:v>316</x:v>
      </x:c>
      <x:c r="I44" s="162"/>
      <x:c r="J44" s="163"/>
    </x:row>
    <x:row r="45">
      <x:c r="A45" s="195" t="n">
        <x:v>37</x:v>
      </x:c>
      <x:c r="B45" s="162" t="str">
        <x:v>Chassis / Body</x:v>
      </x:c>
      <x:c r="C45" s="162" t="str">
        <x:v>Lower_Chassis</x:v>
      </x:c>
      <x:c r="D45" s="162" t="str">
        <x:v>-</x:v>
      </x:c>
      <x:c r="E45" s="162" t="str">
        <x:v>PPA+CF</x:v>
      </x:c>
      <x:c r="F45" s="162"/>
      <x:c r="G45" s="162" t="n">
        <x:v>1</x:v>
      </x:c>
      <x:c r="H45" s="196" t="n">
        <x:v>283</x:v>
      </x:c>
      <x:c r="I45" s="162"/>
      <x:c r="J45" s="163" t="str">
        <x:v>base_link</x:v>
      </x:c>
    </x:row>
    <x:row r="46">
      <x:c r="A46" s="195" t="n">
        <x:v>38</x:v>
      </x:c>
      <x:c r="B46" s="162" t="str">
        <x:v>Fastners</x:v>
      </x:c>
      <x:c r="C46" s="162"/>
      <x:c r="D46" s="162"/>
      <x:c r="E46" s="162" t="str">
        <x:v>Steel</x:v>
      </x:c>
      <x:c r="F46" s="162"/>
      <x:c r="G46" s="162" t="n">
        <x:v>1</x:v>
      </x:c>
      <x:c r="H46" s="196" t="n">
        <x:v>2</x:v>
      </x:c>
      <x:c r="I46" s="162"/>
      <x:c r="J46" s="163" t="str">
        <x:v>base_link</x:v>
      </x:c>
    </x:row>
    <x:row r="47">
      <x:c r="A47" s="195" t="n">
        <x:v>39</x:v>
      </x:c>
      <x:c r="B47" s="162" t="str">
        <x:v>Actuator / Motor</x:v>
      </x:c>
      <x:c r="C47" s="162" t="str">
        <x:v>ACT_HD_Base_Yaw_51</x:v>
      </x:c>
      <x:c r="D47" s="162" t="str">
        <x:v>CN</x:v>
      </x:c>
      <x:c r="E47" s="162" t="str">
        <x:v>-</x:v>
      </x:c>
      <x:c r="F47" s="162"/>
      <x:c r="G47" s="162" t="n">
        <x:v>1</x:v>
      </x:c>
      <x:c r="H47" s="196" t="n">
        <x:v>61</x:v>
      </x:c>
      <x:c r="I47" s="162" t="str">
        <x:v>ID_motor:41</x:v>
      </x:c>
      <x:c r="J47" s="163" t="str">
        <x:v>Not in REV00 URDF (future neck/head link)</x:v>
      </x:c>
    </x:row>
    <x:row r="48">
      <x:c r="A48" s="195"/>
      <x:c r="B48" s="162"/>
      <x:c r="C48" s="162"/>
      <x:c r="D48" s="162"/>
      <x:c r="E48" s="162"/>
      <x:c r="F48" s="162"/>
      <x:c r="G48" s="162"/>
      <x:c r="H48" s="196"/>
      <x:c r="I48" s="162"/>
      <x:c r="J48" s="163"/>
    </x:row>
    <x:row r="49">
      <x:c r="A49" s="195"/>
      <x:c r="B49" s="162"/>
      <x:c r="C49" s="162"/>
      <x:c r="D49" s="162"/>
      <x:c r="E49" s="162"/>
      <x:c r="F49" s="162"/>
      <x:c r="G49" s="162"/>
      <x:c r="H49" s="196"/>
      <x:c r="I49" s="162"/>
      <x:c r="J49" s="163"/>
    </x:row>
    <x:row r="50">
      <x:c r="A50" s="195"/>
      <x:c r="B50" s="162"/>
      <x:c r="C50" s="162"/>
      <x:c r="D50" s="162"/>
      <x:c r="E50" s="162"/>
      <x:c r="F50" s="162"/>
      <x:c r="G50" s="162"/>
      <x:c r="H50" s="196"/>
      <x:c r="I50" s="162"/>
      <x:c r="J50" s="163"/>
    </x:row>
    <x:row r="51">
      <x:c r="A51" s="195"/>
      <x:c r="B51" s="162"/>
      <x:c r="C51" s="162"/>
      <x:c r="D51" s="162"/>
      <x:c r="E51" s="162"/>
      <x:c r="F51" s="162"/>
      <x:c r="G51" s="162"/>
      <x:c r="H51" s="196"/>
      <x:c r="I51" s="162"/>
      <x:c r="J51" s="163"/>
    </x:row>
    <x:row r="52">
      <x:c r="A52" s="197"/>
      <x:c r="B52" s="166"/>
      <x:c r="C52" s="166"/>
      <x:c r="D52" s="166"/>
      <x:c r="E52" s="166"/>
      <x:c r="F52" s="166"/>
      <x:c r="G52" s="166" t="str">
        <x:v>Tot.:</x:v>
      </x:c>
      <x:c r="H52" s="198" t="n">
        <x:v>1610</x:v>
      </x:c>
      <x:c r="I52" s="166"/>
      <x:c r="J52" s="167"/>
    </x:row>
    <x:row r="53">
      <x:c r="H53" s="152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55" hidden="0" customWidth="1"/>
    <x:col min="4" max="4" width="50" hidden="0" customWidth="1"/>
    <x:col min="5" max="5" width="16" hidden="0" customWidth="1"/>
  </x:cols>
  <x:sheetData>
    <x:row r="1" ht="24" customHeight="1">
      <x:c r="A1" s="275" t="str">
        <x:v>MATDOG — Audit pulizia URDF / revisione lower limit -92°</x:v>
      </x:c>
      <x:c r="B1" s="275"/>
      <x:c r="C1" s="275"/>
      <x:c r="D1" s="275"/>
      <x:c r="E1" s="275"/>
    </x:row>
    <x:row r="2" ht="34" customHeight="1">
      <x:c r="A2" s="279" t="str">
        <x:v>Audit effettuato sul file URDF consolidato: struttura, riferimenti mesh, trasformazioni, limiti e coerenza parent/child.</x:v>
      </x:c>
      <x:c r="B2" s="279"/>
      <x:c r="C2" s="279"/>
      <x:c r="D2" s="279"/>
      <x:c r="E2" s="279"/>
    </x:row>
    <x:row r="4" ht="32" customHeight="1">
      <x:c r="A4" s="284" t="str">
        <x:v>Area</x:v>
      </x:c>
      <x:c r="B4" s="284" t="str">
        <x:v>Esito</x:v>
      </x:c>
      <x:c r="C4" s="284" t="str">
        <x:v>Dettaglio</x:v>
      </x:c>
      <x:c r="D4" s="284" t="str">
        <x:v>Azione</x:v>
      </x:c>
      <x:c r="E4" s="284" t="str">
        <x:v>Stato</x:v>
      </x:c>
    </x:row>
    <x:row r="5" ht="38" customHeight="1">
      <x:c r="A5" s="285" t="str">
        <x:v>Struttura</x:v>
      </x:c>
      <x:c r="B5" s="285" t="str">
        <x:v>PASS</x:v>
      </x:c>
      <x:c r="C5" s="285" t="str">
        <x:v>17 link · 16 joint · singola root: base_link.</x:v>
      </x:c>
      <x:c r="D5" s="285" t="str">
        <x:v>Nessuna.</x:v>
      </x:c>
      <x:c r="E5" s="285" t="str">
        <x:v>Pulito</x:v>
      </x:c>
    </x:row>
    <x:row r="6" ht="38" customHeight="1">
      <x:c r="A6" s="285" t="str">
        <x:v>Catene cinematiche</x:v>
      </x:c>
      <x:c r="B6" s="285" t="str">
        <x:v>PASS</x:v>
      </x:c>
      <x:c r="C6" s="285" t="str">
        <x:v>4 catene complete: hip → upper → lower → foot.</x:v>
      </x:c>
      <x:c r="D6" s="285" t="str">
        <x:v>Nessuna.</x:v>
      </x:c>
      <x:c r="E6" s="285" t="str">
        <x:v>Pulito</x:v>
      </x:c>
    </x:row>
    <x:row r="7" ht="38" customHeight="1">
      <x:c r="A7" s="285" t="str">
        <x:v>Coordinate joint</x:v>
      </x:c>
      <x:c r="B7" s="285" t="str">
        <x:v>PASS</x:v>
      </x:c>
      <x:c r="C7" s="285" t="str">
        <x:v>Tutti gli origin joint sono nel parent-link frame; rpy joint = 0.</x:v>
      </x:c>
      <x:c r="D7" s="285" t="str">
        <x:v>Nessuna.</x:v>
      </x:c>
      <x:c r="E7" s="285" t="str">
        <x:v>Pulito</x:v>
      </x:c>
    </x:row>
    <x:row r="8" ht="38" customHeight="1">
      <x:c r="A8" s="285" t="str">
        <x:v>Lower leg limits</x:v>
      </x:c>
      <x:c r="B8" s="285" t="str">
        <x:v>PASS</x:v>
      </x:c>
      <x:c r="C8" s="285" t="str">
        <x:v>4 joint: θmin = -92° (-1.605702911835 rad) · θmax = +37.5°.</x:v>
      </x:c>
      <x:c r="D8" s="285" t="str">
        <x:v>Aggiornati nella presente revisione.</x:v>
      </x:c>
      <x:c r="E8" s="285" t="str">
        <x:v>Canonico</x:v>
      </x:c>
    </x:row>
    <x:row r="9" ht="38" customHeight="1">
      <x:c r="A9" s="285" t="str">
        <x:v>Upper leg limits</x:v>
      </x:c>
      <x:c r="B9" s="285" t="str">
        <x:v>PASS</x:v>
      </x:c>
      <x:c r="C9" s="285" t="str">
        <x:v>4 joint: θmin = -52.5° · θmax = +122.5°.</x:v>
      </x:c>
      <x:c r="D9" s="285" t="str">
        <x:v>Nessuna.</x:v>
      </x:c>
      <x:c r="E9" s="285" t="str">
        <x:v>Canonico</x:v>
      </x:c>
    </x:row>
    <x:row r="10" ht="38" customHeight="1">
      <x:c r="A10" s="285" t="str">
        <x:v>Mesh references</x:v>
      </x:c>
      <x:c r="B10" s="285" t="str">
        <x:v>PASS</x:v>
      </x:c>
      <x:c r="C10" s="285" t="str">
        <x:v>34 riferimenti mesh (visual + collision), tutti relativi a meshes/*.stl; 17 asset unici.</x:v>
      </x:c>
      <x:c r="D10" s="285" t="str">
        <x:v>Nessuna.</x:v>
      </x:c>
      <x:c r="E10" s="285" t="str">
        <x:v>Pulito</x:v>
      </x:c>
    </x:row>
    <x:row r="11" ht="38" customHeight="1">
      <x:c r="A11" s="285" t="str">
        <x:v>Mesh transforms</x:v>
      </x:c>
      <x:c r="B11" s="285" t="str">
        <x:v>PASS</x:v>
      </x:c>
      <x:c r="C11" s="285" t="str">
        <x:v>13 link: xyz 0,0,0 · rpy 0,0,0. 4 upper link: xyz 0,0,-0.090 · rpy 0,180°,0.</x:v>
      </x:c>
      <x:c r="D11" s="285" t="str">
        <x:v>Il solo offset non nullo è necessario al pivot/verso delle mesh upper asimmetriche.</x:v>
      </x:c>
      <x:c r="E11" s="285" t="str">
        <x:v>Pulito</x:v>
      </x:c>
    </x:row>
    <x:row r="12" ht="38" customHeight="1">
      <x:c r="A12" s="285" t="str">
        <x:v>Visual / Collision</x:v>
      </x:c>
      <x:c r="B12" s="285" t="str">
        <x:v>PASS</x:v>
      </x:c>
      <x:c r="C12" s="285" t="str">
        <x:v>Per ciascun link visual e collision usano stessa mesh e stessa origin.</x:v>
      </x:c>
      <x:c r="D12" s="285" t="str">
        <x:v>Scelta attuale conservata.</x:v>
      </x:c>
      <x:c r="E12" s="285" t="str">
        <x:v>Coerente</x:v>
      </x:c>
    </x:row>
    <x:row r="13" ht="38" customHeight="1">
      <x:c r="A13" s="285" t="str">
        <x:v>Materiali e masse</x:v>
      </x:c>
      <x:c r="B13" s="285" t="str">
        <x:v>INFO</x:v>
      </x:c>
      <x:c r="C13" s="285" t="str">
        <x:v>Masse/materiali documentati come metadata. Non ci sono blocchi &lt;inertial&gt; standard.</x:v>
      </x:c>
      <x:c r="D13" s="285" t="str">
        <x:v>Estrarre CoM + tensore d’inerzia dal CAD prima della dinamica.</x:v>
      </x:c>
      <x:c r="E13" s="285" t="str">
        <x:v>Da completare</x:v>
      </x:c>
    </x:row>
    <x:row r="14" ht="38" customHeight="1">
      <x:c r="A14" s="285" t="str">
        <x:v>Collisioni fisiche</x:v>
      </x:c>
      <x:c r="B14" s="285" t="str">
        <x:v>INFO</x:v>
      </x:c>
      <x:c r="C14" s="285" t="str">
        <x:v>Mesh collision reali corrette per controlli geometrici.</x:v>
      </x:c>
      <x:c r="D14" s="285" t="str">
        <x:v>Prima di simulazione dinamica sostituire con primitive/mesh semplificate.</x:v>
      </x:c>
      <x:c r="E14" s="285" t="str">
        <x:v>Futuro</x:v>
      </x:c>
    </x:row>
    <x:row r="15" ht="38" customHeight="1">
      <x:c r="A15" s="285" t="str">
        <x:v>Semplificazione possibile</x:v>
      </x:c>
      <x:c r="B15" s="285" t="str">
        <x:v>INFO</x:v>
      </x:c>
      <x:c r="C15" s="285" t="str">
        <x:v>Il transform upper può sparire solo riesportando gli STL upper già allineati al frame URDF.</x:v>
      </x:c>
      <x:c r="D15" s="285" t="str">
        <x:v>Non consigliato ora: il file attuale è pulito e verificato.</x:v>
      </x:c>
      <x:c r="E15" s="285" t="str">
        <x:v>Opzionale</x:v>
      </x:c>
    </x:row>
  </x:sheetData>
  <x:mergeCells>
    <x:mergeCell ref="A1:E1"/>
    <x:mergeCell ref="A2:E2"/>
  </x:mergeCells>
  <x:conditionalFormatting sqref="B5:B11">
    <x:cfRule type="expression" dxfId="0" priority="1">
      <x:formula>B5="PASS"</x:formula>
    </x:cfRule>
  </x:conditionalFormatting>
  <x:conditionalFormatting sqref="B12:B14">
    <x:cfRule type="expression" dxfId="1" priority="2">
      <x:formula>B12="INFO"</x:formula>
    </x:cfRule>
  </x:conditionalFormatting>
  <x:pageMargins left="0.7" right="0.7" top="0.75" bottom="0.75" header="0.3" footer="0.3"/>
</x:worksheet>
</file>