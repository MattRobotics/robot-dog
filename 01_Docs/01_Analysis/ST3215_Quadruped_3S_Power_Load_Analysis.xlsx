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D:\working\waccache\MI2PEPF0000023F\EXCELCNV\31f4a175-aece-491f-bbc8-f508406541fa\"/>
    </mc:Choice>
  </mc:AlternateContent>
  <xr:revisionPtr revIDLastSave="0" documentId="8_{CB692E39-594A-4962-935A-069A4B2A3592}" xr6:coauthVersionLast="47" xr6:coauthVersionMax="47" xr10:uidLastSave="{00000000-0000-0000-0000-000000000000}"/>
  <bookViews>
    <workbookView xWindow="-60" yWindow="-60" windowWidth="15480" windowHeight="11640" activeTab="1" xr2:uid="{00000000-000D-0000-FFFF-FFFF00000000}"/>
  </bookViews>
  <sheets>
    <sheet name="Data_Motor" sheetId="1" r:id="rId1"/>
    <sheet name="Power_Supply_Calc" sheetId="2" r:id="rId2"/>
    <sheet name="Robot_Load_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B10" i="3"/>
  <c r="B8" i="3"/>
  <c r="B5" i="3"/>
  <c r="B6" i="3" s="1"/>
  <c r="B4" i="3"/>
  <c r="A39" i="2"/>
  <c r="A38" i="2"/>
  <c r="A37" i="2"/>
  <c r="B30" i="2"/>
  <c r="B29" i="2"/>
  <c r="B28" i="2"/>
  <c r="B23" i="2"/>
  <c r="B22" i="2"/>
  <c r="B21" i="2"/>
  <c r="B9" i="3" l="1"/>
  <c r="C30" i="2"/>
  <c r="C29" i="2"/>
  <c r="C28" i="2"/>
  <c r="G30" i="2"/>
  <c r="G29" i="2"/>
  <c r="G28" i="2"/>
  <c r="C18" i="3"/>
  <c r="C17" i="3"/>
  <c r="B7" i="3"/>
  <c r="C24" i="3"/>
  <c r="C23" i="3"/>
  <c r="C26" i="3"/>
  <c r="C25" i="3"/>
  <c r="C28" i="3"/>
  <c r="C27" i="3"/>
  <c r="E17" i="3" l="1"/>
  <c r="D17" i="3"/>
  <c r="E18" i="3"/>
  <c r="D18" i="3"/>
  <c r="D37" i="2"/>
  <c r="E37" i="2" s="1"/>
  <c r="H28" i="2"/>
  <c r="I28" i="2" s="1"/>
  <c r="J28" i="2" s="1"/>
  <c r="D38" i="2"/>
  <c r="E38" i="2" s="1"/>
  <c r="H29" i="2"/>
  <c r="I29" i="2" s="1"/>
  <c r="J29" i="2" s="1"/>
  <c r="D39" i="2"/>
  <c r="E39" i="2" s="1"/>
  <c r="H30" i="2"/>
  <c r="I30" i="2" s="1"/>
  <c r="J30" i="2" s="1"/>
  <c r="B37" i="2"/>
  <c r="F37" i="2" s="1"/>
  <c r="D28" i="2"/>
  <c r="E28" i="2" s="1"/>
  <c r="F28" i="2" s="1"/>
  <c r="B38" i="2"/>
  <c r="D29" i="2"/>
  <c r="E29" i="2" s="1"/>
  <c r="F29" i="2" s="1"/>
  <c r="B39" i="2"/>
  <c r="D30" i="2"/>
  <c r="E30" i="2" s="1"/>
  <c r="F30" i="2" s="1"/>
  <c r="C39" i="2" l="1"/>
  <c r="F39" i="2"/>
  <c r="C38" i="2"/>
  <c r="F38" i="2"/>
  <c r="C37" i="2"/>
  <c r="D28" i="3"/>
  <c r="D26" i="3"/>
  <c r="D24" i="3"/>
  <c r="G18" i="3"/>
  <c r="F18" i="3"/>
  <c r="D27" i="3"/>
  <c r="D25" i="3"/>
  <c r="D23" i="3"/>
  <c r="G17" i="3"/>
  <c r="F17" i="3"/>
  <c r="E27" i="3" l="1"/>
  <c r="F27" i="3" s="1"/>
  <c r="G27" i="3" s="1"/>
  <c r="E25" i="3"/>
  <c r="F25" i="3" s="1"/>
  <c r="G25" i="3" s="1"/>
  <c r="E23" i="3"/>
  <c r="F23" i="3" s="1"/>
  <c r="G23" i="3" s="1"/>
  <c r="E28" i="3"/>
  <c r="F28" i="3" s="1"/>
  <c r="G28" i="3" s="1"/>
  <c r="E26" i="3"/>
  <c r="F26" i="3" s="1"/>
  <c r="G26" i="3" s="1"/>
  <c r="E24" i="3"/>
  <c r="F24" i="3" s="1"/>
  <c r="G24" i="3" s="1"/>
  <c r="I24" i="3" l="1"/>
  <c r="H24" i="3"/>
  <c r="J24" i="3" s="1"/>
  <c r="K24" i="3" s="1"/>
  <c r="I26" i="3"/>
  <c r="H26" i="3"/>
  <c r="J26" i="3" s="1"/>
  <c r="K26" i="3" s="1"/>
  <c r="I28" i="3"/>
  <c r="H28" i="3"/>
  <c r="J28" i="3" s="1"/>
  <c r="K28" i="3" s="1"/>
  <c r="I23" i="3"/>
  <c r="H23" i="3"/>
  <c r="J23" i="3" s="1"/>
  <c r="K23" i="3" s="1"/>
  <c r="I25" i="3"/>
  <c r="H25" i="3"/>
  <c r="J25" i="3" s="1"/>
  <c r="K25" i="3" s="1"/>
  <c r="I27" i="3"/>
  <c r="H27" i="3"/>
  <c r="J27" i="3" s="1"/>
  <c r="K27" i="3" s="1"/>
</calcChain>
</file>

<file path=xl/sharedStrings.xml><?xml version="1.0" encoding="utf-8"?>
<sst xmlns="http://schemas.openxmlformats.org/spreadsheetml/2006/main" count="314" uniqueCount="217">
  <si>
    <t>Riepilogo motore e ipotesi di progetto – Feetech ST-3215-C018</t>
  </si>
  <si>
    <t>Fonte principale</t>
  </si>
  <si>
    <t>Datasheet caricato: Feetech ST-3215-C018 (2023-07-20)</t>
  </si>
  <si>
    <t>Modello</t>
  </si>
  <si>
    <t>ST-3215-C018</t>
  </si>
  <si>
    <t>Tipo</t>
  </si>
  <si>
    <t>Smart serial bus servo TTL con encoder magnetico 12 bit</t>
  </si>
  <si>
    <t>Applicazione</t>
  </si>
  <si>
    <t>Cane robot quadrupede 12 DOF</t>
  </si>
  <si>
    <t>Specifiche elettriche ufficiali (@12V)</t>
  </si>
  <si>
    <t>Parametro</t>
  </si>
  <si>
    <t>Valore</t>
  </si>
  <si>
    <t>Origine</t>
  </si>
  <si>
    <t>Note</t>
  </si>
  <si>
    <t>Tensione nominale</t>
  </si>
  <si>
    <t>12 V</t>
  </si>
  <si>
    <t>Datasheet Feetech</t>
  </si>
  <si>
    <t>Campo tensione ingresso</t>
  </si>
  <si>
    <t>4–14 V</t>
  </si>
  <si>
    <t>Corrente nominale</t>
  </si>
  <si>
    <t>0,9 A</t>
  </si>
  <si>
    <t>Corrente di stallo</t>
  </si>
  <si>
    <t>2,7 A</t>
  </si>
  <si>
    <t>Coppia nominale</t>
  </si>
  <si>
    <t>10 kg·cm</t>
  </si>
  <si>
    <t>Coppia di stallo</t>
  </si>
  <si>
    <t>30 kg·cm</t>
  </si>
  <si>
    <t>Velocità a vuoto</t>
  </si>
  <si>
    <t>0,222 s / 60° (45 RPM)</t>
  </si>
  <si>
    <t>Kt</t>
  </si>
  <si>
    <t>11 kg·cm/A</t>
  </si>
  <si>
    <t>Resistenza terminale motore</t>
  </si>
  <si>
    <t>1,0 Ω</t>
  </si>
  <si>
    <t>Corrente statica</t>
  </si>
  <si>
    <t>30 mA</t>
  </si>
  <si>
    <t>Specifiche meccaniche ufficiali</t>
  </si>
  <si>
    <t>Dimensioni</t>
  </si>
  <si>
    <t>45,2 × 24,7 × 35 mm</t>
  </si>
  <si>
    <t>Peso motore</t>
  </si>
  <si>
    <t>55 ± 1 g</t>
  </si>
  <si>
    <t>Gear ratio</t>
  </si>
  <si>
    <t>1:345</t>
  </si>
  <si>
    <t>Case material</t>
  </si>
  <si>
    <t>PA+GF</t>
  </si>
  <si>
    <t>Gear material</t>
  </si>
  <si>
    <t>Copper</t>
  </si>
  <si>
    <t>Bearing</t>
  </si>
  <si>
    <t>Ball bearings</t>
  </si>
  <si>
    <t>Angolo / encoder</t>
  </si>
  <si>
    <t>360° / 12-bit magnetic encoder</t>
  </si>
  <si>
    <t>Risoluzione</t>
  </si>
  <si>
    <t>0,088°/pulse</t>
  </si>
  <si>
    <t>Spline uscita</t>
  </si>
  <si>
    <t>25T / OD 5,9 mm</t>
  </si>
  <si>
    <t>Cavo / interfaccia</t>
  </si>
  <si>
    <t>Connettore</t>
  </si>
  <si>
    <t>5264-3P</t>
  </si>
  <si>
    <t>Pinout</t>
  </si>
  <si>
    <t>1=GND, 2=Vcc, 3=Signal/TTL</t>
  </si>
  <si>
    <t>Lunghezza cablaggio motore</t>
  </si>
  <si>
    <t>15 cm</t>
  </si>
  <si>
    <t>Sezione reale conduttore usata nel progetto</t>
  </si>
  <si>
    <t>0,25 mm² (24 AWG)</t>
  </si>
  <si>
    <t>Da cavo selezionato dall’utente</t>
  </si>
  <si>
    <t>Batteria e condizioni di progetto</t>
  </si>
  <si>
    <t>Batteria</t>
  </si>
  <si>
    <t>LiPo 3S</t>
  </si>
  <si>
    <t>Progetto</t>
  </si>
  <si>
    <t>Tensione minima di riferimento</t>
  </si>
  <si>
    <t>9,0 V</t>
  </si>
  <si>
    <t>Min safe tipico 3S</t>
  </si>
  <si>
    <t>Assunta come minima carica</t>
  </si>
  <si>
    <t>11,1 V</t>
  </si>
  <si>
    <t>3S nominale</t>
  </si>
  <si>
    <t>Tensione massima</t>
  </si>
  <si>
    <t>12,6 V</t>
  </si>
  <si>
    <t>3S full charge</t>
  </si>
  <si>
    <t>Interasse maggiore zampa (braccio critico)</t>
  </si>
  <si>
    <t>110 mm</t>
  </si>
  <si>
    <t>Peso robot completo</t>
  </si>
  <si>
    <t>3,3 kg</t>
  </si>
  <si>
    <t>Assunzioni di calcolo</t>
  </si>
  <si>
    <t>1) I valori a 11,1 V e 9,0 V sono stime ingegneristiche derivate dai dati ufficiali a 12 V. 2) La coppia massima disponibile sul motore viene stimata scalando con la tensione effettiva ai capi del motore. 3) La caduta di tensione è calcolata sui soli conduttori di potenza (+V e GND), con andata+ritorno, per un ramo da 3 motori. 4) Nel foglio Robot_Load_Analysis il caso 4-zampe e 2-zampe è statico / quasi-statico e usa il braccio peggiore pari a 110 mm.</t>
  </si>
  <si>
    <t>Analisi alimentazione – 12 servo su bus seriale con splitting power 3+3+3+3</t>
  </si>
  <si>
    <t>Input di progetto</t>
  </si>
  <si>
    <t>Topologia / assunzioni</t>
  </si>
  <si>
    <t>Tensione batteria minima</t>
  </si>
  <si>
    <t>V</t>
  </si>
  <si>
    <t>• Bus dati TTL comune a 12 servo; 4 rami di alimentazione identici da 3 motori ciascuno.</t>
  </si>
  <si>
    <t>Tensione batteria nominale (3S)</t>
  </si>
  <si>
    <t>• Per ramo: PSU → servo1 → servo2 → servo3 con segmenti di 15 cm.</t>
  </si>
  <si>
    <t>Tensione batteria massima (3S full)</t>
  </si>
  <si>
    <t>• Caduta al 3° motore: ΔV_3 = Rseg·(I1+2·I2+3·I3); caso uniforme I1=I2=I3=I =&gt; ΔV_3 = 12·ρ·L·I/A.</t>
  </si>
  <si>
    <t>Resistività rame ρ</t>
  </si>
  <si>
    <t>Ω·mm²/m</t>
  </si>
  <si>
    <t>• Le stime di coppia/corrente fuori da 12 V sono derivate dai dati ufficiali a 12 V e dalla tensione effettiva sul motore.</t>
  </si>
  <si>
    <t>Lunghezza segmento cavo L</t>
  </si>
  <si>
    <t>m</t>
  </si>
  <si>
    <t>Sezione conduttore A</t>
  </si>
  <si>
    <t>mm²</t>
  </si>
  <si>
    <t>Motori per ramo</t>
  </si>
  <si>
    <t>n</t>
  </si>
  <si>
    <t>Corrente nominale motore @12V</t>
  </si>
  <si>
    <t>A</t>
  </si>
  <si>
    <t>Corrente stallo motore @12V</t>
  </si>
  <si>
    <t>Coppia nominale motore @12V</t>
  </si>
  <si>
    <t>kg·cm</t>
  </si>
  <si>
    <t>Coppia stallo motore @12V</t>
  </si>
  <si>
    <t>kg·cm/A</t>
  </si>
  <si>
    <t>Interasse maggiore zampa</t>
  </si>
  <si>
    <t>mm</t>
  </si>
  <si>
    <t>Peso cane robot</t>
  </si>
  <si>
    <t>kg</t>
  </si>
  <si>
    <t>Parametri derivati</t>
  </si>
  <si>
    <t>Alpha ramo uniforme = 12·ρ·L/A</t>
  </si>
  <si>
    <t>V/A</t>
  </si>
  <si>
    <t>k_I_nom = I_nom_12 / 12V</t>
  </si>
  <si>
    <t>A/V</t>
  </si>
  <si>
    <t>k_I_max = I_stallo_12 / 12V</t>
  </si>
  <si>
    <t>Stati batteria: performance motore sul 3° servo del ramo (caso uniforme nel ramo)</t>
  </si>
  <si>
    <t>Stato batteria</t>
  </si>
  <si>
    <t>V batt [V]</t>
  </si>
  <si>
    <t>I nominale stim. [A]</t>
  </si>
  <si>
    <t>ΔV nominale [V]</t>
  </si>
  <si>
    <t>V ultimo nominale [V]</t>
  </si>
  <si>
    <t>T nominale stim. [kg·cm]</t>
  </si>
  <si>
    <t>I massima stim. [A]</t>
  </si>
  <si>
    <t>ΔV massima [V]</t>
  </si>
  <si>
    <t>V ultimo massima [V]</t>
  </si>
  <si>
    <t>T massima stim. [kg·cm]</t>
  </si>
  <si>
    <t>Minima carica</t>
  </si>
  <si>
    <t>Nominale 3S</t>
  </si>
  <si>
    <t>Massima carica</t>
  </si>
  <si>
    <t>Capacità Batteria (mAh)</t>
  </si>
  <si>
    <t>Fattore capacità utile</t>
  </si>
  <si>
    <t>Correnti e potenze totali sistema (12 motori tutti uguali)</t>
  </si>
  <si>
    <t>I totale nominale [A]</t>
  </si>
  <si>
    <t>P totale nominale [W]</t>
  </si>
  <si>
    <t>I totale massima [A]</t>
  </si>
  <si>
    <t>P totale massima [W]</t>
  </si>
  <si>
    <t>Autonomia Stimata (min)</t>
  </si>
  <si>
    <t>Caso conservativo: tutti e 12 i motori allo stesso carico</t>
  </si>
  <si>
    <t>Architettura servo / ID quadrupede 12 DOF</t>
  </si>
  <si>
    <t>Zampa</t>
  </si>
  <si>
    <t>Posizione</t>
  </si>
  <si>
    <t>Giunto</t>
  </si>
  <si>
    <t>ID Servo</t>
  </si>
  <si>
    <t>Nome consigliato</t>
  </si>
  <si>
    <t>Ramo power</t>
  </si>
  <si>
    <t>Ordine nel ramo</t>
  </si>
  <si>
    <t>Front Left</t>
  </si>
  <si>
    <t>Anteriore sinistra</t>
  </si>
  <si>
    <t>Shoulder</t>
  </si>
  <si>
    <t>fl_shoulder</t>
  </si>
  <si>
    <t>Ramo 1</t>
  </si>
  <si>
    <t>Thigh</t>
  </si>
  <si>
    <t>fl_thigh</t>
  </si>
  <si>
    <t>Calf</t>
  </si>
  <si>
    <t>fl_calf</t>
  </si>
  <si>
    <t>Front Right</t>
  </si>
  <si>
    <t>Anteriore destra</t>
  </si>
  <si>
    <t>fr_shoulder</t>
  </si>
  <si>
    <t>Ramo 2</t>
  </si>
  <si>
    <t>fr_thigh</t>
  </si>
  <si>
    <t>fr_calf</t>
  </si>
  <si>
    <t>Rear Right</t>
  </si>
  <si>
    <t>Posteriore destra</t>
  </si>
  <si>
    <t>rr_shoulder</t>
  </si>
  <si>
    <t>Ramo 3</t>
  </si>
  <si>
    <t>rr_thigh</t>
  </si>
  <si>
    <t>rr_calf</t>
  </si>
  <si>
    <t>Rear Left</t>
  </si>
  <si>
    <t>Posteriore sinistra</t>
  </si>
  <si>
    <t>rl_shoulder</t>
  </si>
  <si>
    <t>Ramo 4</t>
  </si>
  <si>
    <t>rl_thigh</t>
  </si>
  <si>
    <t>rl_calf</t>
  </si>
  <si>
    <t>Analisi carico robot – braccio critico 110 mm, massa totale 3,3 kg</t>
  </si>
  <si>
    <t>Input rilevanti (link ai dati del foglio Power_Supply_Calc)</t>
  </si>
  <si>
    <t>Massa robot [kg]</t>
  </si>
  <si>
    <t>Braccio critico [mm]</t>
  </si>
  <si>
    <t>Braccio critico [cm]</t>
  </si>
  <si>
    <t>Braccio critico [m]</t>
  </si>
  <si>
    <t>Kt [kg·cm/A]</t>
  </si>
  <si>
    <t>Alpha ramo uniforme [V/A]</t>
  </si>
  <si>
    <t>Tensione batteria minima [V]</t>
  </si>
  <si>
    <t>Tensione batteria nominale [V]</t>
  </si>
  <si>
    <t>Tensione batteria massima [V]</t>
  </si>
  <si>
    <t>Carico statico / quasi-statico del giunto più sollecitato</t>
  </si>
  <si>
    <t>Caso</t>
  </si>
  <si>
    <t>Zampe a terra</t>
  </si>
  <si>
    <t>Peso per zampa [kg]</t>
  </si>
  <si>
    <t>Forza per zampa [N]</t>
  </si>
  <si>
    <t>Coppia richiesta [kg·cm]</t>
  </si>
  <si>
    <t>Coppia richiesta [N·m]</t>
  </si>
  <si>
    <t>Corrente richiesta [A]</t>
  </si>
  <si>
    <t>Formula semplificata</t>
  </si>
  <si>
    <t>Camminata / sostegno 4 zampe</t>
  </si>
  <si>
    <t>Ipotesi statica, braccio massimo perpendicolare</t>
  </si>
  <si>
    <t>Caso gravoso / sostegno 2 zampe</t>
  </si>
  <si>
    <t>Verifica coppia disponibile, corrente e caduta di tensione sul 3° motore del ramo</t>
  </si>
  <si>
    <t>Caso robot</t>
  </si>
  <si>
    <t>V batteria [V]</t>
  </si>
  <si>
    <t>T richiesta [kg·cm]</t>
  </si>
  <si>
    <t>I richiesta [A]</t>
  </si>
  <si>
    <t>ΔV ultimo motore [V]</t>
  </si>
  <si>
    <t>V ultimo motore [V]</t>
  </si>
  <si>
    <t>T max disponibile [kg·cm]</t>
  </si>
  <si>
    <t>I max stimata [A]</t>
  </si>
  <si>
    <t>Margine T_av/T_req</t>
  </si>
  <si>
    <t>Esito</t>
  </si>
  <si>
    <t>Ipotesi ramo</t>
  </si>
  <si>
    <t>4 zampe</t>
  </si>
  <si>
    <t>Conservativo: 3 motori del ramo allo stesso I del motore critico</t>
  </si>
  <si>
    <t>2 zampe</t>
  </si>
  <si>
    <t>Sintesi tecnica</t>
  </si>
  <si>
    <t>Il caso peggiore è la verifica su 2 zampe. Se il margine è &gt;1, la coppia massima stimata disponibile sul 3° motore del ramo supera la coppia richiesta dal giunto più sollecitato. La caduta di tensione è calcolata con la sezione reale 0,25 mm² (AWG24) e con lunghezza segmenti di 15 cm. La verifica è quasi-statica e non include accelerazioni, urti, inefficienze meccaniche, angoli sfavorevoli ulteriori o sovraccarichi dinamici.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</si>
</sst>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"/>
  </numFmts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71" fontId="0" fillId="0" borderId="1" xfId="0" applyNumberFormat="1" applyBorder="1" applyAlignment="1">
      <alignment horizontal="center" vertical="center" wrapText="1"/>
    </xf>
    <xf numFmtId="0" fontId="3" fillId="2" borderId="0" xfId="0" applyFont="1" applyFill="1" applyAlignment="1"/>
    <xf numFmtId="0" fontId="0" fillId="0" borderId="0" xfId="0" applyAlignment="1"/>
    <xf numFmtId="0" fontId="0" fillId="0" borderId="0" xfId="0" applyAlignment="1"/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1" fillId="0" borderId="0" xfId="0" applyFont="1" applyAlignment="1"/>
    <xf numFmtId="0" fontId="0" fillId="0" borderId="1" xfId="0" applyBorder="1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pane ySplit="7" topLeftCell="A13" activePane="bottomLeft" state="frozen"/>
      <selection pane="bottomLeft" sqref="A1:E1"/>
    </sheetView>
  </sheetViews>
  <sheetFormatPr defaultRowHeight="15"/>
  <cols>
    <col min="1" max="1" width="34" customWidth="1"/>
    <col min="2" max="2" width="28" customWidth="1"/>
    <col min="3" max="3" width="24" customWidth="1"/>
    <col min="4" max="4" width="28" customWidth="1"/>
    <col min="5" max="5" width="6" customWidth="1"/>
  </cols>
  <sheetData>
    <row r="1" spans="1:5" ht="18.75">
      <c r="A1" s="16" t="s">
        <v>0</v>
      </c>
      <c r="B1" s="11"/>
      <c r="C1" s="11"/>
      <c r="D1" s="11"/>
      <c r="E1" s="11"/>
    </row>
    <row r="3" spans="1:5">
      <c r="A3" s="1" t="s">
        <v>1</v>
      </c>
      <c r="B3" t="s">
        <v>2</v>
      </c>
    </row>
    <row r="4" spans="1:5">
      <c r="A4" s="1" t="s">
        <v>3</v>
      </c>
      <c r="B4" t="s">
        <v>4</v>
      </c>
    </row>
    <row r="5" spans="1:5">
      <c r="A5" s="1" t="s">
        <v>5</v>
      </c>
      <c r="B5" t="s">
        <v>6</v>
      </c>
    </row>
    <row r="6" spans="1:5">
      <c r="A6" s="1" t="s">
        <v>7</v>
      </c>
      <c r="B6" t="s">
        <v>8</v>
      </c>
    </row>
    <row r="8" spans="1:5">
      <c r="A8" s="6" t="s">
        <v>9</v>
      </c>
      <c r="B8" s="11"/>
      <c r="C8" s="11"/>
      <c r="D8" s="11"/>
      <c r="E8" s="11"/>
    </row>
    <row r="9" spans="1:5">
      <c r="A9" s="2" t="s">
        <v>10</v>
      </c>
      <c r="B9" s="2" t="s">
        <v>11</v>
      </c>
      <c r="C9" s="2" t="s">
        <v>12</v>
      </c>
      <c r="D9" s="2" t="s">
        <v>13</v>
      </c>
    </row>
    <row r="10" spans="1:5">
      <c r="A10" s="3" t="s">
        <v>14</v>
      </c>
      <c r="B10" s="3" t="s">
        <v>15</v>
      </c>
      <c r="C10" s="3" t="s">
        <v>16</v>
      </c>
      <c r="D10" s="3"/>
    </row>
    <row r="11" spans="1:5">
      <c r="A11" s="3" t="s">
        <v>17</v>
      </c>
      <c r="B11" s="3" t="s">
        <v>18</v>
      </c>
      <c r="C11" s="3" t="s">
        <v>16</v>
      </c>
      <c r="D11" s="3"/>
    </row>
    <row r="12" spans="1:5">
      <c r="A12" s="3" t="s">
        <v>19</v>
      </c>
      <c r="B12" s="3" t="s">
        <v>20</v>
      </c>
      <c r="C12" s="3" t="s">
        <v>16</v>
      </c>
      <c r="D12" s="3"/>
    </row>
    <row r="13" spans="1:5">
      <c r="A13" s="3" t="s">
        <v>21</v>
      </c>
      <c r="B13" s="3" t="s">
        <v>22</v>
      </c>
      <c r="C13" s="3" t="s">
        <v>16</v>
      </c>
      <c r="D13" s="3"/>
    </row>
    <row r="14" spans="1:5">
      <c r="A14" s="3" t="s">
        <v>23</v>
      </c>
      <c r="B14" s="3" t="s">
        <v>24</v>
      </c>
      <c r="C14" s="3" t="s">
        <v>16</v>
      </c>
      <c r="D14" s="3"/>
    </row>
    <row r="15" spans="1:5">
      <c r="A15" s="3" t="s">
        <v>25</v>
      </c>
      <c r="B15" s="3" t="s">
        <v>26</v>
      </c>
      <c r="C15" s="3" t="s">
        <v>16</v>
      </c>
      <c r="D15" s="3"/>
    </row>
    <row r="16" spans="1:5">
      <c r="A16" s="3" t="s">
        <v>27</v>
      </c>
      <c r="B16" s="3" t="s">
        <v>28</v>
      </c>
      <c r="C16" s="3" t="s">
        <v>16</v>
      </c>
      <c r="D16" s="3"/>
    </row>
    <row r="17" spans="1:5">
      <c r="A17" s="3" t="s">
        <v>29</v>
      </c>
      <c r="B17" s="3" t="s">
        <v>30</v>
      </c>
      <c r="C17" s="3" t="s">
        <v>16</v>
      </c>
      <c r="D17" s="3"/>
    </row>
    <row r="18" spans="1:5">
      <c r="A18" s="3" t="s">
        <v>31</v>
      </c>
      <c r="B18" s="3" t="s">
        <v>32</v>
      </c>
      <c r="C18" s="3" t="s">
        <v>16</v>
      </c>
      <c r="D18" s="3"/>
    </row>
    <row r="19" spans="1:5">
      <c r="A19" s="3" t="s">
        <v>33</v>
      </c>
      <c r="B19" s="3" t="s">
        <v>34</v>
      </c>
      <c r="C19" s="3" t="s">
        <v>16</v>
      </c>
      <c r="D19" s="3"/>
    </row>
    <row r="21" spans="1:5">
      <c r="A21" s="6" t="s">
        <v>35</v>
      </c>
      <c r="B21" s="11"/>
      <c r="C21" s="11"/>
      <c r="D21" s="11"/>
      <c r="E21" s="11"/>
    </row>
    <row r="22" spans="1:5">
      <c r="A22" s="2" t="s">
        <v>10</v>
      </c>
      <c r="B22" s="2" t="s">
        <v>11</v>
      </c>
      <c r="C22" s="2" t="s">
        <v>12</v>
      </c>
      <c r="D22" s="2" t="s">
        <v>13</v>
      </c>
    </row>
    <row r="23" spans="1:5">
      <c r="A23" s="3" t="s">
        <v>36</v>
      </c>
      <c r="B23" s="3" t="s">
        <v>37</v>
      </c>
      <c r="C23" s="3" t="s">
        <v>16</v>
      </c>
      <c r="D23" s="3"/>
    </row>
    <row r="24" spans="1:5">
      <c r="A24" s="3" t="s">
        <v>38</v>
      </c>
      <c r="B24" s="3" t="s">
        <v>39</v>
      </c>
      <c r="C24" s="3" t="s">
        <v>16</v>
      </c>
      <c r="D24" s="3"/>
    </row>
    <row r="25" spans="1:5">
      <c r="A25" s="3" t="s">
        <v>40</v>
      </c>
      <c r="B25" s="3" t="s">
        <v>41</v>
      </c>
      <c r="C25" s="3" t="s">
        <v>16</v>
      </c>
      <c r="D25" s="3"/>
    </row>
    <row r="26" spans="1:5">
      <c r="A26" s="3" t="s">
        <v>42</v>
      </c>
      <c r="B26" s="3" t="s">
        <v>43</v>
      </c>
      <c r="C26" s="3" t="s">
        <v>16</v>
      </c>
      <c r="D26" s="3"/>
    </row>
    <row r="27" spans="1:5">
      <c r="A27" s="3" t="s">
        <v>44</v>
      </c>
      <c r="B27" s="3" t="s">
        <v>45</v>
      </c>
      <c r="C27" s="3" t="s">
        <v>16</v>
      </c>
      <c r="D27" s="3"/>
    </row>
    <row r="28" spans="1:5">
      <c r="A28" s="3" t="s">
        <v>46</v>
      </c>
      <c r="B28" s="3" t="s">
        <v>47</v>
      </c>
      <c r="C28" s="3" t="s">
        <v>16</v>
      </c>
      <c r="D28" s="3"/>
    </row>
    <row r="29" spans="1:5" ht="30">
      <c r="A29" s="3" t="s">
        <v>48</v>
      </c>
      <c r="B29" s="3" t="s">
        <v>49</v>
      </c>
      <c r="C29" s="3" t="s">
        <v>16</v>
      </c>
      <c r="D29" s="3"/>
    </row>
    <row r="30" spans="1:5">
      <c r="A30" s="3" t="s">
        <v>50</v>
      </c>
      <c r="B30" s="3" t="s">
        <v>51</v>
      </c>
      <c r="C30" s="3" t="s">
        <v>16</v>
      </c>
      <c r="D30" s="3"/>
    </row>
    <row r="31" spans="1:5">
      <c r="A31" s="3" t="s">
        <v>52</v>
      </c>
      <c r="B31" s="3" t="s">
        <v>53</v>
      </c>
      <c r="C31" s="3" t="s">
        <v>16</v>
      </c>
      <c r="D31" s="3"/>
    </row>
    <row r="33" spans="1:5">
      <c r="A33" s="6" t="s">
        <v>54</v>
      </c>
      <c r="B33" s="11"/>
      <c r="C33" s="11"/>
      <c r="D33" s="11"/>
      <c r="E33" s="11"/>
    </row>
    <row r="34" spans="1:5">
      <c r="A34" s="2" t="s">
        <v>10</v>
      </c>
      <c r="B34" s="2" t="s">
        <v>11</v>
      </c>
      <c r="C34" s="2" t="s">
        <v>12</v>
      </c>
      <c r="D34" s="2" t="s">
        <v>13</v>
      </c>
    </row>
    <row r="35" spans="1:5">
      <c r="A35" s="3" t="s">
        <v>55</v>
      </c>
      <c r="B35" s="3" t="s">
        <v>56</v>
      </c>
      <c r="C35" s="3" t="s">
        <v>16</v>
      </c>
      <c r="D35" s="3"/>
    </row>
    <row r="36" spans="1:5">
      <c r="A36" s="3" t="s">
        <v>57</v>
      </c>
      <c r="B36" s="3" t="s">
        <v>58</v>
      </c>
      <c r="C36" s="3" t="s">
        <v>16</v>
      </c>
      <c r="D36" s="3"/>
    </row>
    <row r="37" spans="1:5">
      <c r="A37" s="3" t="s">
        <v>59</v>
      </c>
      <c r="B37" s="3" t="s">
        <v>60</v>
      </c>
      <c r="C37" s="3" t="s">
        <v>16</v>
      </c>
      <c r="D37" s="3"/>
    </row>
    <row r="38" spans="1:5" ht="30">
      <c r="A38" s="3" t="s">
        <v>61</v>
      </c>
      <c r="B38" s="3" t="s">
        <v>62</v>
      </c>
      <c r="C38" s="3" t="s">
        <v>63</v>
      </c>
      <c r="D38" s="3"/>
    </row>
    <row r="40" spans="1:5">
      <c r="A40" s="6" t="s">
        <v>64</v>
      </c>
      <c r="B40" s="11"/>
      <c r="C40" s="11"/>
      <c r="D40" s="11"/>
      <c r="E40" s="11"/>
    </row>
    <row r="41" spans="1:5">
      <c r="A41" s="2" t="s">
        <v>10</v>
      </c>
      <c r="B41" s="2" t="s">
        <v>11</v>
      </c>
      <c r="C41" s="2" t="s">
        <v>12</v>
      </c>
      <c r="D41" s="2" t="s">
        <v>13</v>
      </c>
    </row>
    <row r="42" spans="1:5">
      <c r="A42" s="3" t="s">
        <v>65</v>
      </c>
      <c r="B42" s="3" t="s">
        <v>66</v>
      </c>
      <c r="C42" s="3" t="s">
        <v>67</v>
      </c>
      <c r="D42" s="3"/>
    </row>
    <row r="43" spans="1:5">
      <c r="A43" s="3" t="s">
        <v>68</v>
      </c>
      <c r="B43" s="3" t="s">
        <v>69</v>
      </c>
      <c r="C43" s="3" t="s">
        <v>70</v>
      </c>
      <c r="D43" s="3" t="s">
        <v>71</v>
      </c>
    </row>
    <row r="44" spans="1:5">
      <c r="A44" s="3" t="s">
        <v>14</v>
      </c>
      <c r="B44" s="3" t="s">
        <v>72</v>
      </c>
      <c r="C44" s="3" t="s">
        <v>73</v>
      </c>
      <c r="D44" s="3"/>
    </row>
    <row r="45" spans="1:5">
      <c r="A45" s="3" t="s">
        <v>74</v>
      </c>
      <c r="B45" s="3" t="s">
        <v>75</v>
      </c>
      <c r="C45" s="3" t="s">
        <v>76</v>
      </c>
      <c r="D45" s="3"/>
    </row>
    <row r="46" spans="1:5" ht="30">
      <c r="A46" s="3" t="s">
        <v>77</v>
      </c>
      <c r="B46" s="3" t="s">
        <v>78</v>
      </c>
      <c r="C46" s="3" t="s">
        <v>67</v>
      </c>
      <c r="D46" s="3"/>
    </row>
    <row r="47" spans="1:5">
      <c r="A47" s="3" t="s">
        <v>79</v>
      </c>
      <c r="B47" s="3" t="s">
        <v>80</v>
      </c>
      <c r="C47" s="3" t="s">
        <v>67</v>
      </c>
      <c r="D47" s="3"/>
    </row>
    <row r="49" spans="1:5">
      <c r="A49" s="10" t="s">
        <v>81</v>
      </c>
      <c r="B49" s="11"/>
      <c r="C49" s="11"/>
      <c r="D49" s="11"/>
      <c r="E49" s="11"/>
    </row>
    <row r="50" spans="1:5">
      <c r="A50" s="7" t="s">
        <v>82</v>
      </c>
      <c r="B50" s="17"/>
      <c r="C50" s="17"/>
      <c r="D50" s="17"/>
      <c r="E50" s="17"/>
    </row>
    <row r="51" spans="1:5">
      <c r="A51" s="17"/>
      <c r="B51" s="17"/>
      <c r="C51" s="17"/>
      <c r="D51" s="17"/>
      <c r="E51" s="17"/>
    </row>
    <row r="52" spans="1:5">
      <c r="A52" s="17"/>
      <c r="B52" s="17"/>
      <c r="C52" s="17"/>
      <c r="D52" s="17"/>
      <c r="E52" s="17"/>
    </row>
    <row r="53" spans="1:5">
      <c r="A53" s="17"/>
      <c r="B53" s="17"/>
      <c r="C53" s="17"/>
      <c r="D53" s="17"/>
      <c r="E53" s="17"/>
    </row>
  </sheetData>
  <mergeCells count="7">
    <mergeCell ref="A21:E21"/>
    <mergeCell ref="A50:E53"/>
    <mergeCell ref="A33:E33"/>
    <mergeCell ref="A49:E49"/>
    <mergeCell ref="A1:E1"/>
    <mergeCell ref="A8:E8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workbookViewId="0">
      <pane ySplit="3" topLeftCell="A29" activePane="bottomLeft" state="frozen"/>
      <selection pane="bottomLeft" activeCell="G36" sqref="G36"/>
    </sheetView>
  </sheetViews>
  <sheetFormatPr defaultRowHeight="15"/>
  <cols>
    <col min="1" max="1" width="28" customWidth="1"/>
    <col min="2" max="2" width="15" customWidth="1"/>
    <col min="3" max="3" width="12" customWidth="1"/>
    <col min="4" max="4" width="15" customWidth="1"/>
    <col min="5" max="6" width="16" customWidth="1"/>
    <col min="7" max="9" width="14" customWidth="1"/>
    <col min="10" max="10" width="16" customWidth="1"/>
  </cols>
  <sheetData>
    <row r="1" spans="1:10" ht="18.75">
      <c r="A1" s="16" t="s">
        <v>83</v>
      </c>
      <c r="B1" s="11"/>
      <c r="C1" s="11"/>
      <c r="D1" s="11"/>
      <c r="E1" s="11"/>
      <c r="F1" s="11"/>
      <c r="G1" s="11"/>
      <c r="H1" s="11"/>
      <c r="I1" s="11"/>
      <c r="J1" s="11"/>
    </row>
    <row r="3" spans="1:10">
      <c r="A3" s="10" t="s">
        <v>84</v>
      </c>
      <c r="B3" s="11"/>
      <c r="C3" s="11"/>
      <c r="D3" s="11"/>
      <c r="E3" s="10" t="s">
        <v>85</v>
      </c>
      <c r="F3" s="11"/>
      <c r="G3" s="11"/>
      <c r="H3" s="11"/>
      <c r="I3" s="11"/>
      <c r="J3" s="11"/>
    </row>
    <row r="4" spans="1:10">
      <c r="A4" s="3" t="s">
        <v>86</v>
      </c>
      <c r="B4" s="4">
        <v>9</v>
      </c>
      <c r="C4" s="5" t="s">
        <v>87</v>
      </c>
      <c r="E4" s="8" t="s">
        <v>88</v>
      </c>
      <c r="F4" s="11"/>
      <c r="G4" s="11"/>
      <c r="H4" s="11"/>
      <c r="I4" s="11"/>
      <c r="J4" s="11"/>
    </row>
    <row r="5" spans="1:10" ht="30">
      <c r="A5" s="3" t="s">
        <v>89</v>
      </c>
      <c r="B5" s="4">
        <v>11.1</v>
      </c>
      <c r="C5" s="5" t="s">
        <v>87</v>
      </c>
      <c r="E5" s="8" t="s">
        <v>90</v>
      </c>
      <c r="F5" s="11"/>
      <c r="G5" s="11"/>
      <c r="H5" s="11"/>
      <c r="I5" s="11"/>
      <c r="J5" s="11"/>
    </row>
    <row r="6" spans="1:10" ht="30">
      <c r="A6" s="3" t="s">
        <v>91</v>
      </c>
      <c r="B6" s="4">
        <v>12.6</v>
      </c>
      <c r="C6" s="5" t="s">
        <v>87</v>
      </c>
      <c r="E6" s="8" t="s">
        <v>92</v>
      </c>
      <c r="F6" s="11"/>
      <c r="G6" s="11"/>
      <c r="H6" s="11"/>
      <c r="I6" s="11"/>
      <c r="J6" s="11"/>
    </row>
    <row r="7" spans="1:10">
      <c r="A7" s="3" t="s">
        <v>93</v>
      </c>
      <c r="B7" s="4">
        <v>1.7500000000000002E-2</v>
      </c>
      <c r="C7" s="5" t="s">
        <v>94</v>
      </c>
      <c r="E7" s="8" t="s">
        <v>95</v>
      </c>
      <c r="F7" s="11"/>
      <c r="G7" s="11"/>
      <c r="H7" s="11"/>
      <c r="I7" s="11"/>
      <c r="J7" s="11"/>
    </row>
    <row r="8" spans="1:10">
      <c r="A8" s="3" t="s">
        <v>96</v>
      </c>
      <c r="B8" s="4">
        <v>0.15</v>
      </c>
      <c r="C8" s="5" t="s">
        <v>97</v>
      </c>
    </row>
    <row r="9" spans="1:10">
      <c r="A9" s="3" t="s">
        <v>98</v>
      </c>
      <c r="B9" s="4">
        <v>0.25</v>
      </c>
      <c r="C9" s="5" t="s">
        <v>99</v>
      </c>
    </row>
    <row r="10" spans="1:10">
      <c r="A10" s="3" t="s">
        <v>100</v>
      </c>
      <c r="B10" s="5">
        <v>3</v>
      </c>
      <c r="C10" s="5" t="s">
        <v>101</v>
      </c>
    </row>
    <row r="11" spans="1:10" ht="30">
      <c r="A11" s="3" t="s">
        <v>102</v>
      </c>
      <c r="B11" s="4">
        <v>0.9</v>
      </c>
      <c r="C11" s="5" t="s">
        <v>103</v>
      </c>
    </row>
    <row r="12" spans="1:10">
      <c r="A12" s="3" t="s">
        <v>104</v>
      </c>
      <c r="B12" s="4">
        <v>2.7</v>
      </c>
      <c r="C12" s="5" t="s">
        <v>103</v>
      </c>
    </row>
    <row r="13" spans="1:10" ht="30">
      <c r="A13" s="3" t="s">
        <v>105</v>
      </c>
      <c r="B13" s="4">
        <v>10</v>
      </c>
      <c r="C13" s="5" t="s">
        <v>106</v>
      </c>
    </row>
    <row r="14" spans="1:10">
      <c r="A14" s="3" t="s">
        <v>107</v>
      </c>
      <c r="B14" s="4">
        <v>30</v>
      </c>
      <c r="C14" s="5" t="s">
        <v>106</v>
      </c>
    </row>
    <row r="15" spans="1:10">
      <c r="A15" s="3" t="s">
        <v>29</v>
      </c>
      <c r="B15" s="4">
        <v>11</v>
      </c>
      <c r="C15" s="5" t="s">
        <v>108</v>
      </c>
    </row>
    <row r="16" spans="1:10">
      <c r="A16" s="3" t="s">
        <v>109</v>
      </c>
      <c r="B16" s="4">
        <v>110</v>
      </c>
      <c r="C16" s="5" t="s">
        <v>110</v>
      </c>
    </row>
    <row r="17" spans="1:10">
      <c r="A17" s="3" t="s">
        <v>111</v>
      </c>
      <c r="B17" s="4">
        <v>3.3</v>
      </c>
      <c r="C17" s="5" t="s">
        <v>112</v>
      </c>
    </row>
    <row r="20" spans="1:10">
      <c r="A20" s="10" t="s">
        <v>113</v>
      </c>
      <c r="B20" s="11"/>
      <c r="C20" s="11"/>
      <c r="D20" s="11"/>
    </row>
    <row r="21" spans="1:10" ht="30">
      <c r="A21" s="3" t="s">
        <v>114</v>
      </c>
      <c r="B21" s="5">
        <f>12*$B$7*$B$8/$B$9</f>
        <v>0.126</v>
      </c>
      <c r="C21" s="5" t="s">
        <v>115</v>
      </c>
    </row>
    <row r="22" spans="1:10">
      <c r="A22" s="3" t="s">
        <v>116</v>
      </c>
      <c r="B22" s="5">
        <f>$B$11/12</f>
        <v>7.4999999999999997E-2</v>
      </c>
      <c r="C22" s="5" t="s">
        <v>117</v>
      </c>
    </row>
    <row r="23" spans="1:10">
      <c r="A23" s="3" t="s">
        <v>118</v>
      </c>
      <c r="B23" s="5">
        <f>$B$12/12</f>
        <v>0.22500000000000001</v>
      </c>
      <c r="C23" s="5" t="s">
        <v>117</v>
      </c>
    </row>
    <row r="26" spans="1:10">
      <c r="A26" s="10" t="s">
        <v>119</v>
      </c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30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s">
        <v>125</v>
      </c>
      <c r="G27" s="2" t="s">
        <v>126</v>
      </c>
      <c r="H27" s="2" t="s">
        <v>127</v>
      </c>
      <c r="I27" s="2" t="s">
        <v>128</v>
      </c>
      <c r="J27" s="2" t="s">
        <v>129</v>
      </c>
    </row>
    <row r="28" spans="1:10">
      <c r="A28" s="5" t="s">
        <v>130</v>
      </c>
      <c r="B28" s="5">
        <f>$B$4</f>
        <v>9</v>
      </c>
      <c r="C28" s="5">
        <f>($B$22*B28)/(1+$B$21*$B$22)</f>
        <v>0.66868096488186635</v>
      </c>
      <c r="D28" s="5">
        <f>$B$21*C28</f>
        <v>8.4253801575115167E-2</v>
      </c>
      <c r="E28" s="5">
        <f>B28-D28</f>
        <v>8.915746198424884</v>
      </c>
      <c r="F28" s="5">
        <f>$B$13*E28/12</f>
        <v>7.4297884986874037</v>
      </c>
      <c r="G28" s="5">
        <f>($B$23*B28)/(1+$B$21*$B$23)</f>
        <v>1.969173919385423</v>
      </c>
      <c r="H28" s="5">
        <f>$B$21*G28</f>
        <v>0.24811591384256329</v>
      </c>
      <c r="I28" s="5">
        <f>B28-H28</f>
        <v>8.7518840861574372</v>
      </c>
      <c r="J28" s="5">
        <f>$B$14*I28/12</f>
        <v>21.87971021539359</v>
      </c>
    </row>
    <row r="29" spans="1:10">
      <c r="A29" s="5" t="s">
        <v>131</v>
      </c>
      <c r="B29" s="5">
        <f>$B$5</f>
        <v>11.1</v>
      </c>
      <c r="C29" s="5">
        <f>($B$22*B29)/(1+$B$21*$B$22)</f>
        <v>0.82470652335430183</v>
      </c>
      <c r="D29" s="5">
        <f>$B$21*C29</f>
        <v>0.10391302194264203</v>
      </c>
      <c r="E29" s="5">
        <f>B29-D29</f>
        <v>10.996086978057358</v>
      </c>
      <c r="F29" s="5">
        <f>$B$13*E29/12</f>
        <v>9.1634058150477973</v>
      </c>
      <c r="G29" s="5">
        <f>($B$23*B29)/(1+$B$21*$B$23)</f>
        <v>2.4286478339086885</v>
      </c>
      <c r="H29" s="5">
        <f>$B$21*G29</f>
        <v>0.30600962707249474</v>
      </c>
      <c r="I29" s="5">
        <f>B29-H29</f>
        <v>10.793990372927505</v>
      </c>
      <c r="J29" s="5">
        <f>$B$14*I29/12</f>
        <v>26.984975932318761</v>
      </c>
    </row>
    <row r="30" spans="1:10">
      <c r="A30" s="5" t="s">
        <v>132</v>
      </c>
      <c r="B30" s="5">
        <f>$B$6</f>
        <v>12.6</v>
      </c>
      <c r="C30" s="5">
        <f>($B$22*B30)/(1+$B$21*$B$22)</f>
        <v>0.93615335083461293</v>
      </c>
      <c r="D30" s="5">
        <f>$B$21*C30</f>
        <v>0.11795532220516124</v>
      </c>
      <c r="E30" s="5">
        <f>B30-D30</f>
        <v>12.482044677794839</v>
      </c>
      <c r="F30" s="5">
        <f>$B$13*E30/12</f>
        <v>10.401703898162365</v>
      </c>
      <c r="G30" s="5">
        <f>($B$23*B30)/(1+$B$21*$B$23)</f>
        <v>2.7568434871395922</v>
      </c>
      <c r="H30" s="5">
        <f>$B$21*G30</f>
        <v>0.34736227937958863</v>
      </c>
      <c r="I30" s="5">
        <f>B30-H30</f>
        <v>12.252637720620411</v>
      </c>
      <c r="J30" s="5">
        <f>$B$14*I30/12</f>
        <v>30.631594301551029</v>
      </c>
    </row>
    <row r="32" spans="1:10">
      <c r="A32" s="5" t="s">
        <v>133</v>
      </c>
      <c r="B32" s="5">
        <v>9000</v>
      </c>
    </row>
    <row r="33" spans="1:8">
      <c r="A33" s="5" t="s">
        <v>134</v>
      </c>
      <c r="B33" s="5">
        <v>0.8</v>
      </c>
    </row>
    <row r="35" spans="1:8">
      <c r="A35" s="15" t="s">
        <v>135</v>
      </c>
      <c r="B35" s="15"/>
      <c r="C35" s="15"/>
      <c r="D35" s="15"/>
      <c r="E35" s="15"/>
      <c r="F35" s="15"/>
      <c r="G35" s="15"/>
      <c r="H35" s="12"/>
    </row>
    <row r="36" spans="1:8" ht="45.75">
      <c r="A36" s="2" t="s">
        <v>120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s">
        <v>140</v>
      </c>
      <c r="G36" s="2" t="s">
        <v>13</v>
      </c>
    </row>
    <row r="37" spans="1:8" ht="76.5">
      <c r="A37" s="5" t="str">
        <f>A28</f>
        <v>Minima carica</v>
      </c>
      <c r="B37" s="5">
        <f>12*C28</f>
        <v>8.024171578582397</v>
      </c>
      <c r="C37" s="5">
        <f>B37*B28</f>
        <v>72.217544207241573</v>
      </c>
      <c r="D37" s="5">
        <f>12*G28</f>
        <v>23.630087032625077</v>
      </c>
      <c r="E37" s="5">
        <f>D37*B28</f>
        <v>212.6707832936257</v>
      </c>
      <c r="F37" s="9">
        <f>IFERROR((($B$32/1000)*$B$33)/B37,"")*60</f>
        <v>53.837333333333326</v>
      </c>
      <c r="G37" s="3" t="s">
        <v>141</v>
      </c>
    </row>
    <row r="38" spans="1:8" ht="76.5">
      <c r="A38" s="5" t="str">
        <f>A29</f>
        <v>Nominale 3S</v>
      </c>
      <c r="B38" s="5">
        <f>12*C29</f>
        <v>9.8964782802516211</v>
      </c>
      <c r="C38" s="5">
        <f>B38*B29</f>
        <v>109.850908910793</v>
      </c>
      <c r="D38" s="5">
        <f>12*G29</f>
        <v>29.143774006904263</v>
      </c>
      <c r="E38" s="5">
        <f>D38*B29</f>
        <v>323.49589147663733</v>
      </c>
      <c r="F38" s="9">
        <f>IFERROR((($B$32/1000)*$B$33)/B38,"")*60</f>
        <v>43.651891891891893</v>
      </c>
      <c r="G38" s="3" t="s">
        <v>141</v>
      </c>
    </row>
    <row r="39" spans="1:8" ht="76.5">
      <c r="A39" s="5" t="str">
        <f>A30</f>
        <v>Massima carica</v>
      </c>
      <c r="B39" s="5">
        <f>12*C30</f>
        <v>11.233840210015355</v>
      </c>
      <c r="C39" s="5">
        <f>B39*B30</f>
        <v>141.54638664619347</v>
      </c>
      <c r="D39" s="5">
        <f>12*G30</f>
        <v>33.082121845675104</v>
      </c>
      <c r="E39" s="5">
        <f>D39*B30</f>
        <v>416.8347352555063</v>
      </c>
      <c r="F39" s="9">
        <f>IFERROR((($B$32/1000)*$B$33)/B39,"")*60</f>
        <v>38.455238095238094</v>
      </c>
      <c r="G39" s="3" t="s">
        <v>141</v>
      </c>
    </row>
    <row r="41" spans="1:8">
      <c r="A41" s="13" t="s">
        <v>142</v>
      </c>
      <c r="B41" s="14"/>
      <c r="C41" s="14"/>
      <c r="D41" s="14"/>
      <c r="E41" s="14"/>
      <c r="F41" s="14"/>
      <c r="G41" s="14"/>
    </row>
    <row r="42" spans="1:8" ht="30">
      <c r="A42" s="2" t="s">
        <v>143</v>
      </c>
      <c r="B42" s="2" t="s">
        <v>144</v>
      </c>
      <c r="C42" s="2" t="s">
        <v>145</v>
      </c>
      <c r="D42" s="2" t="s">
        <v>146</v>
      </c>
      <c r="E42" s="2" t="s">
        <v>147</v>
      </c>
      <c r="F42" s="2" t="s">
        <v>148</v>
      </c>
      <c r="G42" s="2" t="s">
        <v>149</v>
      </c>
    </row>
    <row r="43" spans="1:8" ht="30">
      <c r="A43" s="3" t="s">
        <v>150</v>
      </c>
      <c r="B43" s="3" t="s">
        <v>151</v>
      </c>
      <c r="C43" s="3" t="s">
        <v>152</v>
      </c>
      <c r="D43" s="3">
        <v>11</v>
      </c>
      <c r="E43" s="3" t="s">
        <v>153</v>
      </c>
      <c r="F43" s="3" t="s">
        <v>154</v>
      </c>
      <c r="G43" s="3">
        <v>1</v>
      </c>
    </row>
    <row r="44" spans="1:8" ht="30">
      <c r="A44" s="3" t="s">
        <v>150</v>
      </c>
      <c r="B44" s="3" t="s">
        <v>151</v>
      </c>
      <c r="C44" s="3" t="s">
        <v>155</v>
      </c>
      <c r="D44" s="3">
        <v>12</v>
      </c>
      <c r="E44" s="3" t="s">
        <v>156</v>
      </c>
      <c r="F44" s="3" t="s">
        <v>154</v>
      </c>
      <c r="G44" s="3">
        <v>2</v>
      </c>
    </row>
    <row r="45" spans="1:8" ht="30">
      <c r="A45" s="3" t="s">
        <v>150</v>
      </c>
      <c r="B45" s="3" t="s">
        <v>151</v>
      </c>
      <c r="C45" s="3" t="s">
        <v>157</v>
      </c>
      <c r="D45" s="3">
        <v>13</v>
      </c>
      <c r="E45" s="3" t="s">
        <v>158</v>
      </c>
      <c r="F45" s="3" t="s">
        <v>154</v>
      </c>
      <c r="G45" s="3">
        <v>3</v>
      </c>
    </row>
    <row r="46" spans="1:8" ht="30">
      <c r="A46" s="3" t="s">
        <v>159</v>
      </c>
      <c r="B46" s="3" t="s">
        <v>160</v>
      </c>
      <c r="C46" s="3" t="s">
        <v>152</v>
      </c>
      <c r="D46" s="3">
        <v>21</v>
      </c>
      <c r="E46" s="3" t="s">
        <v>161</v>
      </c>
      <c r="F46" s="3" t="s">
        <v>162</v>
      </c>
      <c r="G46" s="3">
        <v>1</v>
      </c>
    </row>
    <row r="47" spans="1:8" ht="30">
      <c r="A47" s="3" t="s">
        <v>159</v>
      </c>
      <c r="B47" s="3" t="s">
        <v>160</v>
      </c>
      <c r="C47" s="3" t="s">
        <v>155</v>
      </c>
      <c r="D47" s="3">
        <v>22</v>
      </c>
      <c r="E47" s="3" t="s">
        <v>163</v>
      </c>
      <c r="F47" s="3" t="s">
        <v>162</v>
      </c>
      <c r="G47" s="3">
        <v>2</v>
      </c>
    </row>
    <row r="48" spans="1:8" ht="30">
      <c r="A48" s="3" t="s">
        <v>159</v>
      </c>
      <c r="B48" s="3" t="s">
        <v>160</v>
      </c>
      <c r="C48" s="3" t="s">
        <v>157</v>
      </c>
      <c r="D48" s="3">
        <v>23</v>
      </c>
      <c r="E48" s="3" t="s">
        <v>164</v>
      </c>
      <c r="F48" s="3" t="s">
        <v>162</v>
      </c>
      <c r="G48" s="3">
        <v>3</v>
      </c>
    </row>
    <row r="49" spans="1:7" ht="30">
      <c r="A49" s="3" t="s">
        <v>165</v>
      </c>
      <c r="B49" s="3" t="s">
        <v>166</v>
      </c>
      <c r="C49" s="3" t="s">
        <v>152</v>
      </c>
      <c r="D49" s="3">
        <v>31</v>
      </c>
      <c r="E49" s="3" t="s">
        <v>167</v>
      </c>
      <c r="F49" s="3" t="s">
        <v>168</v>
      </c>
      <c r="G49" s="3">
        <v>1</v>
      </c>
    </row>
    <row r="50" spans="1:7" ht="30">
      <c r="A50" s="3" t="s">
        <v>165</v>
      </c>
      <c r="B50" s="3" t="s">
        <v>166</v>
      </c>
      <c r="C50" s="3" t="s">
        <v>155</v>
      </c>
      <c r="D50" s="3">
        <v>32</v>
      </c>
      <c r="E50" s="3" t="s">
        <v>169</v>
      </c>
      <c r="F50" s="3" t="s">
        <v>168</v>
      </c>
      <c r="G50" s="3">
        <v>2</v>
      </c>
    </row>
    <row r="51" spans="1:7" ht="30">
      <c r="A51" s="3" t="s">
        <v>165</v>
      </c>
      <c r="B51" s="3" t="s">
        <v>166</v>
      </c>
      <c r="C51" s="3" t="s">
        <v>157</v>
      </c>
      <c r="D51" s="3">
        <v>33</v>
      </c>
      <c r="E51" s="3" t="s">
        <v>170</v>
      </c>
      <c r="F51" s="3" t="s">
        <v>168</v>
      </c>
      <c r="G51" s="3">
        <v>3</v>
      </c>
    </row>
    <row r="52" spans="1:7" ht="30">
      <c r="A52" s="3" t="s">
        <v>171</v>
      </c>
      <c r="B52" s="3" t="s">
        <v>172</v>
      </c>
      <c r="C52" s="3" t="s">
        <v>152</v>
      </c>
      <c r="D52" s="3">
        <v>41</v>
      </c>
      <c r="E52" s="3" t="s">
        <v>173</v>
      </c>
      <c r="F52" s="3" t="s">
        <v>174</v>
      </c>
      <c r="G52" s="3">
        <v>1</v>
      </c>
    </row>
    <row r="53" spans="1:7" ht="30">
      <c r="A53" s="3" t="s">
        <v>171</v>
      </c>
      <c r="B53" s="3" t="s">
        <v>172</v>
      </c>
      <c r="C53" s="3" t="s">
        <v>155</v>
      </c>
      <c r="D53" s="3">
        <v>42</v>
      </c>
      <c r="E53" s="3" t="s">
        <v>175</v>
      </c>
      <c r="F53" s="3" t="s">
        <v>174</v>
      </c>
      <c r="G53" s="3">
        <v>2</v>
      </c>
    </row>
    <row r="54" spans="1:7" ht="30">
      <c r="A54" s="3" t="s">
        <v>171</v>
      </c>
      <c r="B54" s="3" t="s">
        <v>172</v>
      </c>
      <c r="C54" s="3" t="s">
        <v>157</v>
      </c>
      <c r="D54" s="3">
        <v>43</v>
      </c>
      <c r="E54" s="3" t="s">
        <v>176</v>
      </c>
      <c r="F54" s="3" t="s">
        <v>174</v>
      </c>
      <c r="G54" s="3">
        <v>3</v>
      </c>
    </row>
  </sheetData>
  <mergeCells count="11">
    <mergeCell ref="A1:J1"/>
    <mergeCell ref="A41:G41"/>
    <mergeCell ref="A3:D3"/>
    <mergeCell ref="E5:J5"/>
    <mergeCell ref="E6:J6"/>
    <mergeCell ref="A20:D20"/>
    <mergeCell ref="A26:J26"/>
    <mergeCell ref="E4:J4"/>
    <mergeCell ref="E3:J3"/>
    <mergeCell ref="E7:J7"/>
    <mergeCell ref="A35:G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workbookViewId="0">
      <pane ySplit="15" topLeftCell="A38" activePane="bottomLeft" state="frozen"/>
      <selection pane="bottomLeft" activeCell="L24" sqref="L24"/>
    </sheetView>
  </sheetViews>
  <sheetFormatPr defaultRowHeight="15"/>
  <cols>
    <col min="1" max="1" width="22" customWidth="1"/>
    <col min="2" max="3" width="14" customWidth="1"/>
    <col min="4" max="4" width="16" customWidth="1"/>
    <col min="5" max="5" width="13" customWidth="1"/>
    <col min="6" max="7" width="16" customWidth="1"/>
    <col min="8" max="8" width="18" customWidth="1"/>
    <col min="9" max="10" width="14" customWidth="1"/>
    <col min="11" max="11" width="12" customWidth="1"/>
    <col min="12" max="12" width="40" customWidth="1"/>
  </cols>
  <sheetData>
    <row r="1" spans="1:12" ht="18.75">
      <c r="A1" s="16" t="s">
        <v>177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>
      <c r="A3" s="10" t="s">
        <v>178</v>
      </c>
      <c r="B3" s="11"/>
      <c r="C3" s="11"/>
      <c r="D3" s="11"/>
    </row>
    <row r="4" spans="1:12">
      <c r="A4" s="3" t="s">
        <v>179</v>
      </c>
      <c r="B4" s="5">
        <f>Power_Supply_Calc!$B$17</f>
        <v>3.3</v>
      </c>
      <c r="C4" s="5"/>
    </row>
    <row r="5" spans="1:12">
      <c r="A5" s="3" t="s">
        <v>180</v>
      </c>
      <c r="B5" s="5">
        <f>Power_Supply_Calc!$B$16</f>
        <v>110</v>
      </c>
      <c r="C5" s="5"/>
    </row>
    <row r="6" spans="1:12">
      <c r="A6" s="3" t="s">
        <v>181</v>
      </c>
      <c r="B6" s="5">
        <f>B5/10</f>
        <v>11</v>
      </c>
      <c r="C6" s="5"/>
    </row>
    <row r="7" spans="1:12">
      <c r="A7" s="3" t="s">
        <v>182</v>
      </c>
      <c r="B7" s="5">
        <f>B5/1000</f>
        <v>0.11</v>
      </c>
      <c r="C7" s="5"/>
    </row>
    <row r="8" spans="1:12">
      <c r="A8" s="3" t="s">
        <v>183</v>
      </c>
      <c r="B8" s="5">
        <f>Power_Supply_Calc!$B$15</f>
        <v>11</v>
      </c>
      <c r="C8" s="5"/>
    </row>
    <row r="9" spans="1:12" ht="30">
      <c r="A9" s="3" t="s">
        <v>184</v>
      </c>
      <c r="B9" s="5">
        <f>Power_Supply_Calc!$B$21</f>
        <v>0.126</v>
      </c>
      <c r="C9" s="5"/>
    </row>
    <row r="10" spans="1:12" ht="30">
      <c r="A10" s="3" t="s">
        <v>185</v>
      </c>
      <c r="B10" s="5">
        <f>Power_Supply_Calc!$B$4</f>
        <v>9</v>
      </c>
      <c r="C10" s="5"/>
    </row>
    <row r="11" spans="1:12" ht="30">
      <c r="A11" s="3" t="s">
        <v>186</v>
      </c>
      <c r="B11" s="5">
        <f>Power_Supply_Calc!$B$5</f>
        <v>11.1</v>
      </c>
      <c r="C11" s="5"/>
    </row>
    <row r="12" spans="1:12" ht="30">
      <c r="A12" s="3" t="s">
        <v>187</v>
      </c>
      <c r="B12" s="5">
        <f>Power_Supply_Calc!$B$6</f>
        <v>12.6</v>
      </c>
      <c r="C12" s="5"/>
    </row>
    <row r="15" spans="1:12">
      <c r="A15" s="10" t="s">
        <v>188</v>
      </c>
      <c r="B15" s="11"/>
      <c r="C15" s="11"/>
      <c r="D15" s="11"/>
      <c r="E15" s="11"/>
      <c r="F15" s="11"/>
      <c r="G15" s="11"/>
      <c r="H15" s="11"/>
      <c r="I15" s="11"/>
    </row>
    <row r="16" spans="1:12" ht="45">
      <c r="A16" s="2" t="s">
        <v>189</v>
      </c>
      <c r="B16" s="2" t="s">
        <v>190</v>
      </c>
      <c r="C16" s="2" t="s">
        <v>191</v>
      </c>
      <c r="D16" s="2" t="s">
        <v>192</v>
      </c>
      <c r="E16" s="2" t="s">
        <v>193</v>
      </c>
      <c r="F16" s="2" t="s">
        <v>194</v>
      </c>
      <c r="G16" s="2" t="s">
        <v>195</v>
      </c>
      <c r="H16" s="2" t="s">
        <v>196</v>
      </c>
      <c r="I16" s="2" t="s">
        <v>13</v>
      </c>
    </row>
    <row r="17" spans="1:12" ht="75">
      <c r="A17" s="5" t="s">
        <v>197</v>
      </c>
      <c r="B17" s="5">
        <v>4</v>
      </c>
      <c r="C17" s="5">
        <f>$B$4/B17</f>
        <v>0.82499999999999996</v>
      </c>
      <c r="D17" s="5">
        <f>C17*9.80665</f>
        <v>8.0904862499999997</v>
      </c>
      <c r="E17" s="5">
        <f>C17*$B$6</f>
        <v>9.0749999999999993</v>
      </c>
      <c r="F17" s="5">
        <f>E17*0.0980665</f>
        <v>0.88995348749999992</v>
      </c>
      <c r="G17" s="5">
        <f>E17/$B$8</f>
        <v>0.82499999999999996</v>
      </c>
      <c r="H17" s="5"/>
      <c r="I17" s="3" t="s">
        <v>198</v>
      </c>
    </row>
    <row r="18" spans="1:12" ht="75">
      <c r="A18" s="5" t="s">
        <v>199</v>
      </c>
      <c r="B18" s="5">
        <v>2</v>
      </c>
      <c r="C18" s="5">
        <f>$B$4/B18</f>
        <v>1.65</v>
      </c>
      <c r="D18" s="5">
        <f>C18*9.80665</f>
        <v>16.180972499999999</v>
      </c>
      <c r="E18" s="5">
        <f>C18*$B$6</f>
        <v>18.149999999999999</v>
      </c>
      <c r="F18" s="5">
        <f>E18*0.0980665</f>
        <v>1.7799069749999998</v>
      </c>
      <c r="G18" s="5">
        <f>E18/$B$8</f>
        <v>1.65</v>
      </c>
      <c r="H18" s="5"/>
      <c r="I18" s="3" t="s">
        <v>198</v>
      </c>
    </row>
    <row r="21" spans="1:12">
      <c r="A21" s="10" t="s">
        <v>200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30">
      <c r="A22" s="2" t="s">
        <v>120</v>
      </c>
      <c r="B22" s="2" t="s">
        <v>201</v>
      </c>
      <c r="C22" s="2" t="s">
        <v>202</v>
      </c>
      <c r="D22" s="2" t="s">
        <v>203</v>
      </c>
      <c r="E22" s="2" t="s">
        <v>204</v>
      </c>
      <c r="F22" s="2" t="s">
        <v>205</v>
      </c>
      <c r="G22" s="2" t="s">
        <v>206</v>
      </c>
      <c r="H22" s="2" t="s">
        <v>207</v>
      </c>
      <c r="I22" s="2" t="s">
        <v>208</v>
      </c>
      <c r="J22" s="2" t="s">
        <v>209</v>
      </c>
      <c r="K22" s="2" t="s">
        <v>210</v>
      </c>
      <c r="L22" s="2" t="s">
        <v>211</v>
      </c>
    </row>
    <row r="23" spans="1:12" ht="30">
      <c r="A23" s="5" t="s">
        <v>130</v>
      </c>
      <c r="B23" s="5" t="s">
        <v>212</v>
      </c>
      <c r="C23" s="5">
        <f>$B$10</f>
        <v>9</v>
      </c>
      <c r="D23" s="5">
        <f>E17</f>
        <v>9.0749999999999993</v>
      </c>
      <c r="E23" s="5">
        <f>G17</f>
        <v>0.82499999999999996</v>
      </c>
      <c r="F23" s="5">
        <f t="shared" ref="F23:F28" si="0">$B$9*E23</f>
        <v>0.10395</v>
      </c>
      <c r="G23" s="5">
        <f t="shared" ref="G23:G28" si="1">C23-F23</f>
        <v>8.8960500000000007</v>
      </c>
      <c r="H23" s="5">
        <f>Power_Supply_Calc!$B$14*G23/12</f>
        <v>22.240125000000003</v>
      </c>
      <c r="I23" s="5">
        <f>Power_Supply_Calc!$B$12*G23/12</f>
        <v>2.0016112500000003</v>
      </c>
      <c r="J23" s="5">
        <f t="shared" ref="J23:J28" si="2">H23/D23</f>
        <v>2.4507024793388434</v>
      </c>
      <c r="K23" s="5" t="str">
        <f t="shared" ref="K23:K28" si="3">IF(J23&gt;=1,"OK","NO MARGIN")</f>
        <v>OK</v>
      </c>
      <c r="L23" s="3" t="s">
        <v>213</v>
      </c>
    </row>
    <row r="24" spans="1:12" ht="30">
      <c r="A24" s="5" t="s">
        <v>130</v>
      </c>
      <c r="B24" s="5" t="s">
        <v>214</v>
      </c>
      <c r="C24" s="5">
        <f>$B$10</f>
        <v>9</v>
      </c>
      <c r="D24" s="5">
        <f>E18</f>
        <v>18.149999999999999</v>
      </c>
      <c r="E24" s="5">
        <f>G18</f>
        <v>1.65</v>
      </c>
      <c r="F24" s="5">
        <f t="shared" si="0"/>
        <v>0.2079</v>
      </c>
      <c r="G24" s="5">
        <f t="shared" si="1"/>
        <v>8.7920999999999996</v>
      </c>
      <c r="H24" s="5">
        <f>Power_Supply_Calc!$B$14*G24/12</f>
        <v>21.980249999999998</v>
      </c>
      <c r="I24" s="5">
        <f>Power_Supply_Calc!$B$12*G24/12</f>
        <v>1.9782225</v>
      </c>
      <c r="J24" s="5">
        <f t="shared" si="2"/>
        <v>1.2110330578512396</v>
      </c>
      <c r="K24" s="5" t="str">
        <f t="shared" si="3"/>
        <v>OK</v>
      </c>
      <c r="L24" s="3" t="s">
        <v>213</v>
      </c>
    </row>
    <row r="25" spans="1:12" ht="30">
      <c r="A25" s="5" t="s">
        <v>131</v>
      </c>
      <c r="B25" s="5" t="s">
        <v>212</v>
      </c>
      <c r="C25" s="5">
        <f>$B$11</f>
        <v>11.1</v>
      </c>
      <c r="D25" s="5">
        <f>E17</f>
        <v>9.0749999999999993</v>
      </c>
      <c r="E25" s="5">
        <f>G17</f>
        <v>0.82499999999999996</v>
      </c>
      <c r="F25" s="5">
        <f t="shared" si="0"/>
        <v>0.10395</v>
      </c>
      <c r="G25" s="5">
        <f t="shared" si="1"/>
        <v>10.99605</v>
      </c>
      <c r="H25" s="5">
        <f>Power_Supply_Calc!$B$14*G25/12</f>
        <v>27.490125000000003</v>
      </c>
      <c r="I25" s="5">
        <f>Power_Supply_Calc!$B$12*G25/12</f>
        <v>2.4741112500000004</v>
      </c>
      <c r="J25" s="5">
        <f t="shared" si="2"/>
        <v>3.0292148760330582</v>
      </c>
      <c r="K25" s="5" t="str">
        <f t="shared" si="3"/>
        <v>OK</v>
      </c>
      <c r="L25" s="3" t="s">
        <v>213</v>
      </c>
    </row>
    <row r="26" spans="1:12" ht="30">
      <c r="A26" s="5" t="s">
        <v>131</v>
      </c>
      <c r="B26" s="5" t="s">
        <v>214</v>
      </c>
      <c r="C26" s="5">
        <f>$B$11</f>
        <v>11.1</v>
      </c>
      <c r="D26" s="5">
        <f>E18</f>
        <v>18.149999999999999</v>
      </c>
      <c r="E26" s="5">
        <f>G18</f>
        <v>1.65</v>
      </c>
      <c r="F26" s="5">
        <f t="shared" si="0"/>
        <v>0.2079</v>
      </c>
      <c r="G26" s="5">
        <f t="shared" si="1"/>
        <v>10.892099999999999</v>
      </c>
      <c r="H26" s="5">
        <f>Power_Supply_Calc!$B$14*G26/12</f>
        <v>27.230249999999998</v>
      </c>
      <c r="I26" s="5">
        <f>Power_Supply_Calc!$B$12*G26/12</f>
        <v>2.4507224999999999</v>
      </c>
      <c r="J26" s="5">
        <f t="shared" si="2"/>
        <v>1.5002892561983472</v>
      </c>
      <c r="K26" s="5" t="str">
        <f t="shared" si="3"/>
        <v>OK</v>
      </c>
      <c r="L26" s="3" t="s">
        <v>213</v>
      </c>
    </row>
    <row r="27" spans="1:12" ht="30">
      <c r="A27" s="5" t="s">
        <v>132</v>
      </c>
      <c r="B27" s="5" t="s">
        <v>212</v>
      </c>
      <c r="C27" s="5">
        <f>$B$12</f>
        <v>12.6</v>
      </c>
      <c r="D27" s="5">
        <f>E17</f>
        <v>9.0749999999999993</v>
      </c>
      <c r="E27" s="5">
        <f>G17</f>
        <v>0.82499999999999996</v>
      </c>
      <c r="F27" s="5">
        <f t="shared" si="0"/>
        <v>0.10395</v>
      </c>
      <c r="G27" s="5">
        <f t="shared" si="1"/>
        <v>12.49605</v>
      </c>
      <c r="H27" s="5">
        <f>Power_Supply_Calc!$B$14*G27/12</f>
        <v>31.240125000000003</v>
      </c>
      <c r="I27" s="5">
        <f>Power_Supply_Calc!$B$12*G27/12</f>
        <v>2.8116112500000003</v>
      </c>
      <c r="J27" s="5">
        <f t="shared" si="2"/>
        <v>3.4424380165289263</v>
      </c>
      <c r="K27" s="5" t="str">
        <f t="shared" si="3"/>
        <v>OK</v>
      </c>
      <c r="L27" s="3" t="s">
        <v>213</v>
      </c>
    </row>
    <row r="28" spans="1:12" ht="30">
      <c r="A28" s="5" t="s">
        <v>132</v>
      </c>
      <c r="B28" s="5" t="s">
        <v>214</v>
      </c>
      <c r="C28" s="5">
        <f>$B$12</f>
        <v>12.6</v>
      </c>
      <c r="D28" s="5">
        <f>E18</f>
        <v>18.149999999999999</v>
      </c>
      <c r="E28" s="5">
        <f>G18</f>
        <v>1.65</v>
      </c>
      <c r="F28" s="5">
        <f t="shared" si="0"/>
        <v>0.2079</v>
      </c>
      <c r="G28" s="5">
        <f t="shared" si="1"/>
        <v>12.392099999999999</v>
      </c>
      <c r="H28" s="5">
        <f>Power_Supply_Calc!$B$14*G28/12</f>
        <v>30.980249999999998</v>
      </c>
      <c r="I28" s="5">
        <f>Power_Supply_Calc!$B$12*G28/12</f>
        <v>2.7882224999999998</v>
      </c>
      <c r="J28" s="5">
        <f t="shared" si="2"/>
        <v>1.706900826446281</v>
      </c>
      <c r="K28" s="5" t="str">
        <f t="shared" si="3"/>
        <v>OK</v>
      </c>
      <c r="L28" s="3" t="s">
        <v>213</v>
      </c>
    </row>
    <row r="30" spans="1:12">
      <c r="A30" s="10" t="s">
        <v>215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>
      <c r="A31" s="7" t="s">
        <v>216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</sheetData>
  <mergeCells count="6">
    <mergeCell ref="A15:I15"/>
    <mergeCell ref="A30:L30"/>
    <mergeCell ref="A3:D3"/>
    <mergeCell ref="A1:L1"/>
    <mergeCell ref="A31:L34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2026-06-15T13:59:27Z</dcterms:created>
  <dcterms:modified xsi:type="dcterms:W3CDTF">2026-06-15T14:47:29Z</dcterms:modified>
  <cp:category/>
  <cp:contentStatus/>
</cp:coreProperties>
</file>